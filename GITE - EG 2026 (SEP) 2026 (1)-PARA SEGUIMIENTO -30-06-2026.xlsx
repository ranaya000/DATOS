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ranaya\Desktop\Nueva carpeta\"/>
    </mc:Choice>
  </mc:AlternateContent>
  <xr:revisionPtr revIDLastSave="0" documentId="13_ncr:1_{15F251C9-140D-42BD-B22D-FC8ED28D3D62}" xr6:coauthVersionLast="47" xr6:coauthVersionMax="47" xr10:uidLastSave="{00000000-0000-0000-0000-000000000000}"/>
  <bookViews>
    <workbookView xWindow="-120" yWindow="-120" windowWidth="29040" windowHeight="15720" firstSheet="1" activeTab="1" xr2:uid="{D48E796A-11E7-4B40-8B96-FAE275089BFB}"/>
  </bookViews>
  <sheets>
    <sheet name="Hoja1" sheetId="6" state="hidden" r:id="rId1"/>
    <sheet name="BIENES Y SERVICIOS" sheetId="1" r:id="rId2"/>
    <sheet name="Hoja2" sheetId="10" state="hidden" r:id="rId3"/>
  </sheets>
  <definedNames>
    <definedName name="_xlnm._FilterDatabase" localSheetId="1" hidden="1">'BIENES Y SERVICIOS'!$A$1:$XFA$41</definedName>
  </definedNames>
  <calcPr calcId="191029"/>
  <pivotCaches>
    <pivotCache cacheId="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Z3" i="1" l="1"/>
  <c r="BZ42" i="1" l="1"/>
  <c r="BY39" i="1"/>
  <c r="CA39" i="1" s="1"/>
  <c r="BT42" i="1"/>
  <c r="BU13" i="1"/>
  <c r="N18" i="10"/>
  <c r="G4" i="10"/>
  <c r="BU21" i="1"/>
  <c r="BU23" i="1"/>
  <c r="BU24" i="1"/>
  <c r="BU25" i="1"/>
  <c r="BU26" i="1"/>
  <c r="BU27" i="1"/>
  <c r="BU29" i="1"/>
  <c r="BU30" i="1"/>
  <c r="BU31" i="1"/>
  <c r="BY4" i="1"/>
  <c r="CA4" i="1" s="1"/>
  <c r="AX5" i="1"/>
  <c r="BY5" i="1" s="1"/>
  <c r="CA5" i="1" s="1"/>
  <c r="BU4" i="1"/>
  <c r="AX3" i="1"/>
  <c r="AX37" i="1"/>
  <c r="BY37" i="1" s="1"/>
  <c r="CA37" i="1" s="1"/>
  <c r="AK42" i="1"/>
  <c r="AX2" i="1"/>
  <c r="BY2" i="1" s="1"/>
  <c r="BU11" i="1"/>
  <c r="BY6" i="1"/>
  <c r="CA6" i="1" s="1"/>
  <c r="BY7" i="1"/>
  <c r="CA7" i="1" s="1"/>
  <c r="BY8" i="1"/>
  <c r="CA8" i="1" s="1"/>
  <c r="BY9" i="1"/>
  <c r="CA9" i="1" s="1"/>
  <c r="BY11" i="1"/>
  <c r="CA11" i="1" s="1"/>
  <c r="BY12" i="1"/>
  <c r="CA12" i="1" s="1"/>
  <c r="BY13" i="1"/>
  <c r="CA13" i="1" s="1"/>
  <c r="BY14" i="1"/>
  <c r="CA14" i="1" s="1"/>
  <c r="BY15" i="1"/>
  <c r="CA15" i="1" s="1"/>
  <c r="BY16" i="1"/>
  <c r="CA16" i="1" s="1"/>
  <c r="BY17" i="1"/>
  <c r="CA17" i="1" s="1"/>
  <c r="BY18" i="1"/>
  <c r="CA18" i="1" s="1"/>
  <c r="BY19" i="1"/>
  <c r="CA19" i="1" s="1"/>
  <c r="BY20" i="1"/>
  <c r="CA20" i="1" s="1"/>
  <c r="BY21" i="1"/>
  <c r="CA21" i="1" s="1"/>
  <c r="BY23" i="1"/>
  <c r="CA23" i="1" s="1"/>
  <c r="BY24" i="1"/>
  <c r="CA24" i="1" s="1"/>
  <c r="BY25" i="1"/>
  <c r="CA25" i="1" s="1"/>
  <c r="BY26" i="1"/>
  <c r="CA26" i="1" s="1"/>
  <c r="BY27" i="1"/>
  <c r="CA27" i="1" s="1"/>
  <c r="BY29" i="1"/>
  <c r="CA29" i="1" s="1"/>
  <c r="BY30" i="1"/>
  <c r="CA30" i="1" s="1"/>
  <c r="BY31" i="1"/>
  <c r="CA31" i="1" s="1"/>
  <c r="BY32" i="1"/>
  <c r="CA32" i="1" s="1"/>
  <c r="BY33" i="1"/>
  <c r="CA33" i="1" s="1"/>
  <c r="BY34" i="1"/>
  <c r="CA34" i="1" s="1"/>
  <c r="BY35" i="1"/>
  <c r="CA35" i="1" s="1"/>
  <c r="BY36" i="1"/>
  <c r="CA36" i="1" s="1"/>
  <c r="BY38" i="1"/>
  <c r="CA38" i="1" s="1"/>
  <c r="BU5" i="1"/>
  <c r="BU6" i="1"/>
  <c r="BU7" i="1"/>
  <c r="BU8" i="1"/>
  <c r="BU9" i="1"/>
  <c r="BU12" i="1"/>
  <c r="BU14" i="1"/>
  <c r="BU15" i="1"/>
  <c r="BU16" i="1"/>
  <c r="BU17" i="1"/>
  <c r="BU18" i="1"/>
  <c r="BU19" i="1"/>
  <c r="BU20" i="1"/>
  <c r="BU32" i="1"/>
  <c r="BU33" i="1"/>
  <c r="BU34" i="1"/>
  <c r="BU35" i="1"/>
  <c r="BU36" i="1"/>
  <c r="BU38" i="1"/>
  <c r="BU2" i="1"/>
  <c r="CB42" i="1"/>
  <c r="AX28" i="1"/>
  <c r="BU28" i="1" s="1"/>
  <c r="AX22" i="1"/>
  <c r="BU22" i="1" s="1"/>
  <c r="AX10" i="1"/>
  <c r="BU3" i="1" l="1"/>
  <c r="BY3" i="1"/>
  <c r="CA3" i="1" s="1"/>
  <c r="BU37" i="1"/>
  <c r="AX42" i="1"/>
  <c r="CA2" i="1"/>
  <c r="BY10" i="1"/>
  <c r="BU10" i="1"/>
  <c r="BY22" i="1"/>
  <c r="CA22" i="1" s="1"/>
  <c r="BY28" i="1"/>
  <c r="CA28" i="1" s="1"/>
  <c r="BU42" i="1" l="1"/>
  <c r="CA10" i="1"/>
  <c r="CA42" i="1" s="1"/>
  <c r="BY42" i="1"/>
  <c r="AL42" i="1" l="1"/>
  <c r="AM42" i="1"/>
  <c r="AN42" i="1"/>
  <c r="AO42" i="1"/>
  <c r="AP42" i="1"/>
  <c r="AQ42" i="1"/>
  <c r="AR42" i="1"/>
  <c r="AS42" i="1"/>
  <c r="AT42" i="1"/>
  <c r="AU42" i="1"/>
  <c r="AV42" i="1"/>
  <c r="AW42" i="1"/>
</calcChain>
</file>

<file path=xl/sharedStrings.xml><?xml version="1.0" encoding="utf-8"?>
<sst xmlns="http://schemas.openxmlformats.org/spreadsheetml/2006/main" count="1521" uniqueCount="373">
  <si>
    <t>META</t>
  </si>
  <si>
    <t>CANTIDAD DE PERSOMAS</t>
  </si>
  <si>
    <t>MONTO TOTAL</t>
  </si>
  <si>
    <t>LOCADOR</t>
  </si>
  <si>
    <t>GITE</t>
  </si>
  <si>
    <t>SGGDI</t>
  </si>
  <si>
    <t>SGSI</t>
  </si>
  <si>
    <t>SGIST</t>
  </si>
  <si>
    <t>Total general</t>
  </si>
  <si>
    <t>AÑO</t>
  </si>
  <si>
    <t>UE</t>
  </si>
  <si>
    <t>TIPO DE PROCESO</t>
  </si>
  <si>
    <t>PROCESO NIVEL 1</t>
  </si>
  <si>
    <t>CATEGORÍA PRESUPUESTAL</t>
  </si>
  <si>
    <t>PRODUCTO PRESUPUESTAL</t>
  </si>
  <si>
    <t>ACTIVIDAD  PRESUPUESTAL</t>
  </si>
  <si>
    <t>FUNCIÓN</t>
  </si>
  <si>
    <t xml:space="preserve">DIVISIÓN FUNCIONAL </t>
  </si>
  <si>
    <t>GRUPO FUNCIONAL</t>
  </si>
  <si>
    <t>FINALIDAD</t>
  </si>
  <si>
    <t>ID</t>
  </si>
  <si>
    <t>ACTIVIDAD
 OPERATIVA</t>
  </si>
  <si>
    <t>Meta
presupuestal</t>
  </si>
  <si>
    <t>Ubigeo</t>
  </si>
  <si>
    <t xml:space="preserve">Órgano </t>
  </si>
  <si>
    <t>Tipo de PPTO</t>
  </si>
  <si>
    <t>GG</t>
  </si>
  <si>
    <t>Clasificador</t>
  </si>
  <si>
    <t>CODIGO SIGA</t>
  </si>
  <si>
    <t>Descripción del 
Bien/Servicio</t>
  </si>
  <si>
    <t>Unidad medida</t>
  </si>
  <si>
    <t>Cantidad de Personas o Veces</t>
  </si>
  <si>
    <t>Precio Unitario</t>
  </si>
  <si>
    <t>Enero</t>
  </si>
  <si>
    <t>Febrero</t>
  </si>
  <si>
    <t>Marzo</t>
  </si>
  <si>
    <t>Abril</t>
  </si>
  <si>
    <t>Mayo</t>
  </si>
  <si>
    <t>Junio</t>
  </si>
  <si>
    <t>Julio</t>
  </si>
  <si>
    <t>Agosto</t>
  </si>
  <si>
    <t>Setiembre</t>
  </si>
  <si>
    <t>Octubre</t>
  </si>
  <si>
    <t>Noviembre</t>
  </si>
  <si>
    <t>Diciembre</t>
  </si>
  <si>
    <t>Total Costo
 de B.S</t>
  </si>
  <si>
    <t>ENERO</t>
  </si>
  <si>
    <t>FEBRERO</t>
  </si>
  <si>
    <t>MARZO</t>
  </si>
  <si>
    <t>ABRIL</t>
  </si>
  <si>
    <t>MAYO</t>
  </si>
  <si>
    <t>JUNIO</t>
  </si>
  <si>
    <t>JULIO</t>
  </si>
  <si>
    <t>AGOSTO</t>
  </si>
  <si>
    <t>SETIEMBRE</t>
  </si>
  <si>
    <t>OCTUBRE</t>
  </si>
  <si>
    <t>NOVIEMBRE</t>
  </si>
  <si>
    <t>DICIEMBRE</t>
  </si>
  <si>
    <t>TOTAL</t>
  </si>
  <si>
    <t>GITE/SG</t>
  </si>
  <si>
    <t>PRIORIDAD</t>
  </si>
  <si>
    <t>APLICATIVOS</t>
  </si>
  <si>
    <t>DENOMINACION SIGA</t>
  </si>
  <si>
    <t>ESTADO SIGA</t>
  </si>
  <si>
    <t>PROCESOS DE SOPORTE</t>
  </si>
  <si>
    <t xml:space="preserve">GESTION DE LAS TECNOLOGIAS DE LA INFORMACION Y COMUNICACIONES </t>
  </si>
  <si>
    <t xml:space="preserve">2026EG 2026 (SEP)GITE GESTIÓN DE LA INFRAESTRUCTURA TECNOLÓGICA Y BASE DE DATOS </t>
  </si>
  <si>
    <t xml:space="preserve"> GESTIÓN DE LA INFRAESTRUCTURA TECNOLÓGICA Y BASE DE DATOS </t>
  </si>
  <si>
    <t>EG 2026 (SEP)</t>
  </si>
  <si>
    <t>2.3</t>
  </si>
  <si>
    <t>2.3.2.2.3.99</t>
  </si>
  <si>
    <t>SERVICIO DE ENLACE DE TELECOMUNICACIONES</t>
  </si>
  <si>
    <t>SERVICIO</t>
  </si>
  <si>
    <t xml:space="preserve"> -   </t>
  </si>
  <si>
    <t>P1</t>
  </si>
  <si>
    <t>REGISTRADO</t>
  </si>
  <si>
    <t>2.3.2.7.13.98</t>
  </si>
  <si>
    <t>SERVICIO DE HABILITACION, ACONDICIONAMIENTO Y LOGISTICA INFORMATICA</t>
  </si>
  <si>
    <t>SERVICIO DE TRANSMISION DE DATOS</t>
  </si>
  <si>
    <t>SERVICIO DE WEB HOSTING</t>
  </si>
  <si>
    <t>2.3.2.7.4.99</t>
  </si>
  <si>
    <t>SERVICIO DE SOPORTE INFORMATICO</t>
  </si>
  <si>
    <t>2026EG 2026 (SEP)GITEGESTIÓN DE LA SEGURIDAD INFORMÁTICA Y CONTINUIDAD DE LOS SERVICIOS TECNOLÓGICOS</t>
  </si>
  <si>
    <t>GESTIÓN DE LA SEGURIDAD INFORMÁTICA Y CONTINUIDAD DE LOS SERVICIOS TECNOLÓGICOS</t>
  </si>
  <si>
    <t>SERVICIO DE HACKEO ÉTICO - ETICAL HACKING</t>
  </si>
  <si>
    <t>2.3.2.5.1.99</t>
  </si>
  <si>
    <t>RENOVACION DE LICENCIA  SOFTWARE ANTIVIRUS</t>
  </si>
  <si>
    <t>RENOVACION DE LICENCIA DE SOFTWARE ANTIVIRUS</t>
  </si>
  <si>
    <t>SERVICIO DE CORREO ELECTRONICO EN LA NUBE</t>
  </si>
  <si>
    <t>2.3.2.5.1.4</t>
  </si>
  <si>
    <t>ALQUILER DE SERVIDOR</t>
  </si>
  <si>
    <t>ALQUILER DE EQUIPO DE COMPUTO</t>
  </si>
  <si>
    <t>2.3.2.5.1.3</t>
  </si>
  <si>
    <t>ALQUILER DE MOBILIARIO PARA OFICINA (CENTRAL)</t>
  </si>
  <si>
    <t>ALQUILER DE MOBILIARIO PARA OFICINA</t>
  </si>
  <si>
    <t>2.3.2.7.11.5</t>
  </si>
  <si>
    <t>SERVICIO DE ATENCIÓN DE REFRIGERIOS</t>
  </si>
  <si>
    <t>SERVICIO DE ALIMENTACION DE PERSONAS</t>
  </si>
  <si>
    <t>2026EG 2026 (SEP)GITEDISEÑO, DESARROLLO Y DESPLIEGUE SOLUCIONES TECNOLOGICAS</t>
  </si>
  <si>
    <t>DISEÑO, DESARROLLO Y DESPLIEGUE SOLUCIONES TECNOLOGICAS</t>
  </si>
  <si>
    <t>2.3.2.5.1.1</t>
  </si>
  <si>
    <t>ALQUILER DE OFICINAS ADMINISTRATIVAS (PISO 10)</t>
  </si>
  <si>
    <t>ALQUILER DE OFICINA ADMINISTRATIVA</t>
  </si>
  <si>
    <t>ALQUILER DE OFICINAS ADMINISTRATIVAS (PISO 9)</t>
  </si>
  <si>
    <t>ALQUILER DE MOBILIARIO PARA CENTRO DE MONITOREO - ESCRITORIOS (20)</t>
  </si>
  <si>
    <t>ALQUILER DE MOBILIARIO PARA CENTRO DE MONITOREO - SILLAS (40)</t>
  </si>
  <si>
    <t>ALQUILER DE EQUIPOS DE COMPUTO</t>
  </si>
  <si>
    <t>SERVICIO DE AUDITORÍA INFORMÁTICA PARA LAS SOLUCIONES TECNOLÓGICAS DE SOPORTE ELECTORAL AL ESCRUTINIO, CÓMPUTO DE RESULTADOS Y PRESENTACIÓN DE RESULTADOS</t>
  </si>
  <si>
    <t>2.3.1.5.1.2</t>
  </si>
  <si>
    <t>BOLIGRAFO (LAPICERO) DE TINTA SECA PUNTA FINA COLOR ROJO</t>
  </si>
  <si>
    <t>BIEN</t>
  </si>
  <si>
    <t>BOLIGRAFO (LAPICERO) DE TINTA SECA PUNTA FINA COLOR AZUL</t>
  </si>
  <si>
    <t>BOLIGRAFO (LAPICERO) DE TINTA SECA PUNTA FINA COLOR NEGRO</t>
  </si>
  <si>
    <t>LAPIZ NEGRO GRADO 2B CON BORRADOR</t>
  </si>
  <si>
    <t>PLUMON MARCADOR DE TINTA AL AGUA PUNTA GRUESA COLOR NEGRO</t>
  </si>
  <si>
    <t>PLUMON DE TINTA INDELEBLE PUNTA FINA COLOR NEGRO</t>
  </si>
  <si>
    <t>registrado</t>
  </si>
  <si>
    <t>PLUMON RESALTADOR PUNTA GRUESA BISELADA COLOR AMARILLO</t>
  </si>
  <si>
    <t>REGISTRADO- VALIDAR PRECIO SIGA</t>
  </si>
  <si>
    <t>PLUMON RESALTADOR PUNTA GRUESA BISELADA COLOR NARANJA</t>
  </si>
  <si>
    <t>PLUMON RESALTADOR PUNTA GRUESA BISELADA COLOR ANARANJADO</t>
  </si>
  <si>
    <t>CUADERNO CUADRICULADO TAMAÑO A5 X 100 HOJAS APROX.</t>
  </si>
  <si>
    <t>CUADERNO CUADRICULADO TAMAÑO A5 x 100 hojas aprox</t>
  </si>
  <si>
    <t>CLIP MARIPOSA DE METAL 45 mm  X 50</t>
  </si>
  <si>
    <t>CLIP MARIPOSA DE METAL 45mm aprox x 50</t>
  </si>
  <si>
    <t>CLIP DE METAL 30 mm X 100</t>
  </si>
  <si>
    <t>2.3.1.99.1.99</t>
  </si>
  <si>
    <t>BOLSA DE POLIETILENO 50 X 80 CM</t>
  </si>
  <si>
    <t>BOLSA DE POLIETILENO 1.5 um x 50 CM X 80 APROX COLOR NEGRO</t>
  </si>
  <si>
    <t>MICA PARA LAMINADORA A4</t>
  </si>
  <si>
    <t>ahora: 200
antes: 2</t>
  </si>
  <si>
    <t>lamina para enmicar 175 um tamaño a4</t>
  </si>
  <si>
    <t>MICA PARA LAMINADORA A3</t>
  </si>
  <si>
    <t>ahora: 100
antes - 1</t>
  </si>
  <si>
    <t>lamina para enmicar 125 um tamaño a3</t>
  </si>
  <si>
    <t>SUSCRIPCIÓN ANUAL A LICENCIA DE SOFTWARE</t>
  </si>
  <si>
    <t>2.3.2.9.1.1</t>
  </si>
  <si>
    <t>SERVICIO DE ALIMENTACIÓN (Subgerencias y despacho)</t>
  </si>
  <si>
    <t>SE DEBE REALIZAR MODIFICACION PRESUPUESTAL POR CLASIFICADOR</t>
  </si>
  <si>
    <t>TOTAL PRESUPUESTO PIM</t>
  </si>
  <si>
    <t>MODIFICACION- HABILITACION INFORME SG</t>
  </si>
  <si>
    <t>MODIFICACION- HABILITACION MEMORANDO GITE</t>
  </si>
  <si>
    <t>MODIFICACION CN - ESTADO (MEMO APROBACION GPP)</t>
  </si>
  <si>
    <t>TOTAL PRESUPUESTO PIM - MODIFICADA (e</t>
  </si>
  <si>
    <t>OBSERVACIONES DE LO SOLICTADO</t>
  </si>
  <si>
    <t>PEDIDOS DE COMPRAS- SERVICIOS</t>
  </si>
  <si>
    <t>ESPECIALISTA A A CARGO</t>
  </si>
  <si>
    <t>INFORME SG</t>
  </si>
  <si>
    <t>FECHA INFORME SG</t>
  </si>
  <si>
    <t>INFORME PEDIDO REMITIDO (SGIST)</t>
  </si>
  <si>
    <t>FECHA INFORME PEDIDO REMITIDO (SGIST)</t>
  </si>
  <si>
    <t>MEMORANDOGITE</t>
  </si>
  <si>
    <t>FECHA MEMORANDO GITE</t>
  </si>
  <si>
    <t>ESTADO DE REQUERIMIENTOS</t>
  </si>
  <si>
    <t>SEGUIMIENTO AL ESTADO DEL REQUERIMIENTO</t>
  </si>
  <si>
    <t>CCP</t>
  </si>
  <si>
    <t>MONTO TOTAL CERTIFICADO</t>
  </si>
  <si>
    <t>SALDO DE CERTIFICACION</t>
  </si>
  <si>
    <t xml:space="preserve">ESTADO </t>
  </si>
  <si>
    <t>N° ORDEN</t>
  </si>
  <si>
    <t>FECHA DE ORDEN</t>
  </si>
  <si>
    <t>MONTO TOTAL PROGRAMADO</t>
  </si>
  <si>
    <t>MONTO TOTAL EJECUTADO CON ORDEN</t>
  </si>
  <si>
    <t xml:space="preserve">SALDOS DE PROGRAMACION/ CERTIFICACIÓN </t>
  </si>
  <si>
    <t xml:space="preserve">DATOS DEL PROVEEDOR SEGÚN ORDEN </t>
  </si>
  <si>
    <t>TIPO DE CONTRATACIION</t>
  </si>
  <si>
    <t xml:space="preserve">FECHA DE ENTREGA O PLAZO DE EJECUCION </t>
  </si>
  <si>
    <t xml:space="preserve">INFORME DE CONFORMIDAD </t>
  </si>
  <si>
    <t>FECHA DE ENTREGA</t>
  </si>
  <si>
    <t>MEMORANDO GITE DE CONFORMIDAD</t>
  </si>
  <si>
    <t>FECHA DE MEMORANDO</t>
  </si>
  <si>
    <t>PRE CONFORMIDAD</t>
  </si>
  <si>
    <t>FECHA PRE CONFORMIDAD</t>
  </si>
  <si>
    <t>SEGUIMIENTO</t>
  </si>
  <si>
    <t xml:space="preserve">COMPROMETIDO </t>
  </si>
  <si>
    <t xml:space="preserve">DEVENGADO </t>
  </si>
  <si>
    <t>GIRADO</t>
  </si>
  <si>
    <t>FECHA DE GIRO</t>
  </si>
  <si>
    <t xml:space="preserve">OBSERVACIONES/ ESTADO </t>
  </si>
  <si>
    <t>MONTO PIM CERTIFICADO</t>
  </si>
  <si>
    <t>93-SEP 2026</t>
  </si>
  <si>
    <t>00933-2026/GPP</t>
  </si>
  <si>
    <t>GPP APROBO HABILITACION PRESUPUESTAL PARA EL SERVICIO DE TELCO SEP POR UN MONTO ADICIONAL DE  S/ 11,129,942</t>
  </si>
  <si>
    <t xml:space="preserve">SIN PEDIDO </t>
  </si>
  <si>
    <t>001328-2026/SGIST-GITE</t>
  </si>
  <si>
    <t>1807-2026-SGIST</t>
  </si>
  <si>
    <t>002270-2026/GITE</t>
  </si>
  <si>
    <t>REMITIDO PARA CONTRATACION/ADQUISICION</t>
  </si>
  <si>
    <t>18/06/2026: RESOLUCION GERENCIAL N° 000271-2026/GAD - Sobre solicitud de reducción de prestaciones al contrato N° 134-2025-ONPE "SERVICIO DE ENLACE DE TELECOMUNICACIONES - EG2026"
22/05/2026 -  PRESTACIÓN ADICIONAL CON R.G. 235-2026-GAD DEL 20/5/2026 POR EL MONTO DE S/ 17.129,941,03
19/05/2026: MEMORANDO 002450-2026/GITE - INFORME COMPLEMENTARIO PARA LA PRESTACIÓN ADICIONAL AL CONTRATO N° 134-2025-ONPE - SERVICIO DE ENLACE DE TELECOMUNICACIONES - EG 2026 EN EL MARCO DE LA SEGUNDA ELECCION PRESIDENCIAL 2026
18/05/2026: INFORME 001985-2026/SGIST-GITE, INFORME COMPLEMENTARIO PARA LA PRESTACIÓN ADICIONAL AL CONTRATO N° 134-2025-ONPE - SERVICIO DE ENLACE DE TELECOMUNICACIONES - EG 2026 EN EL MARCO DE LA SEGUNDA ELECCION PRESIDENCIAL 2026
18/05/2026: HABILITACION PRESUPUESTAL EN VALIDACION DE LA SGPL Y GPP PARA DAR ATENCION A LA SOLICITUD
14/05/2026-. SE SOLICITO HABILITACION PARA EL SERVICIO DE ENLACE DE TELECOMUNICACIONES POR UN MONTO ADICIONAL DE S/ 11,129,942
12/05/2026: INFORME 001922-2026/SGIST-GITE, SGIST SOLICITA HABILITACION PRESUPUESTAL PARA ALCANZAR EL MONTO DE LA ESTRUCTURA DE COSTOS REMITIDA POR EL PROVEEDOR AMERICA MOVIL S/ 17,129,941
13/05/2026: SGIST SOLICITA LA HABILITACION PRESUPUESTAL PARA LA PRESTACIÓN ADICIONAL AL CONTRATO N° 134-2025-ONPE - SERVICIO DE ENLACE DE TELECOMUNICACIONES - EG 2026 EN EL MARCO DE LA SEGUNDA ELECCION PRESIDENCIAL 2026 (SISPLAN 93)
12/5/2026: SGIST solicita la autorización a la GITE para realizar las gestiones correspondientes para la habilitación presupuestal por S/ 11,129,941.03 para la prestación adicional al Contrato N° 134-2025-ONPE del Servicio de enlace detelecomunicaciones en el marco de la Segunda Elección Presidencial 2026/ INFORME 1922-2026-SGIST
5-5 SGIST remite documento para Prestación adicional al Contrato N° 134-2025-ONPE de fecha 21/11/2025; servicio que debe tener como plazo de ejecución del 21 de mayo al 30 de junio de 2026</t>
  </si>
  <si>
    <t>CER - 197</t>
  </si>
  <si>
    <t xml:space="preserve">CONTRATO/ORDEN </t>
  </si>
  <si>
    <t>AMERICA MOVIL PERU S.A.C</t>
  </si>
  <si>
    <t>PRESTACION ADICIONAL 1</t>
  </si>
  <si>
    <t>DEL 21/05/2026 - 30/06/2026</t>
  </si>
  <si>
    <t>20/05/2026: PRESTACION ADICIONAL MEDIANTE RESOLUCION 000235-2026/GAD -  INFORME LEGAL - Sobre solicitud de Prestación Adicional al Contrato N° 134-2025-ONPE -"SERVICIO DE ENLACE DE TELECOMUNICACIONES - EG 2026" SEP</t>
  </si>
  <si>
    <t>PENDIENTE</t>
  </si>
  <si>
    <t>solicitud n° 109</t>
  </si>
  <si>
    <t>memorando 0935-2026-GPP/ONPE</t>
  </si>
  <si>
    <t>01854-2026/SGIST-GITE</t>
  </si>
  <si>
    <t>02297-2026/GITE</t>
  </si>
  <si>
    <t xml:space="preserve"> CER-00117 </t>
  </si>
  <si>
    <t>2136-2026</t>
  </si>
  <si>
    <t>ADMINISTRADOR DE PROCESOS ELECTORALES CSA</t>
  </si>
  <si>
    <t>PRESTACION ADICIONAL1</t>
  </si>
  <si>
    <t>21 MAYO ALK 19 JUNIO 2026</t>
  </si>
  <si>
    <t>pendiente</t>
  </si>
  <si>
    <t>SIN PEDIDO</t>
  </si>
  <si>
    <t>001838-2026/SGIST-GITE</t>
  </si>
  <si>
    <t>07/05/2026
06/05/2026</t>
  </si>
  <si>
    <t>002265-2026/GITE</t>
  </si>
  <si>
    <t>05/06/2026: notificacion de la O.S. 2125- DEL SERVICIO DE TRANSMISION DE DATOS
15/05/2026: RESOLUCION GERENCIAL N° 000226-2026-GAD/ONPE, SE SOLICITO AL PROVEEDOR DOLPHIN MOBILE S.A.C, GESTIONAR LA PRESTACION ADICIONAL DEL CONTRATO N° 056-2026-ONPE POR EL MONTO DE 303,062.50
7-5 SGIST-GITE remite documento para Prestación adicional al Contrato N° 056-2026-ONPE de fecha 9/2/2026, por el 30,31% del monto del contrato original (S/ 1,000,000,00)/MEMO 2265-2026-GITE</t>
  </si>
  <si>
    <t>CER-0185</t>
  </si>
  <si>
    <t>DOLPHIN MOBILE S.A.C</t>
  </si>
  <si>
    <t>PRESTACION ADICIONAL</t>
  </si>
  <si>
    <t>32 DIAS, DESDE 15 MAYO AL 15 DE JUNIO</t>
  </si>
  <si>
    <t>120-2026-SISPLAN</t>
  </si>
  <si>
    <t>000953-2026/GPP</t>
  </si>
  <si>
    <t>SE REALIZO HABILITACION PRESUPUESTAL PARA EL ADICIONAL DEL SERVICIO DE WEB HOSTING SEP 2026</t>
  </si>
  <si>
    <t>001885-2026/SGIST-GITE</t>
  </si>
  <si>
    <t>002357-2026/GITE</t>
  </si>
  <si>
    <t>ORDEN DE SERVICIO DE WEB HOSTIN PRESTACION ADICIONAL NOTIFICADA CON FECHA AL 24/06/2026
RESOLUCION GERENCIAL N° 000243-2026-GAD/ONPE
21/05/2026:  PRESTACIÓN ADICIONAL CON R.G. 243-2026-GAD DEL 21/5/2026 POR EL MONTO DE S/ 4,522,144.09
19/05/2026 GPP APRUEBA LA HABILITACIÓN  DE RECURSOS PRESPUESTALES POR S/ 2,022,146,00/MEMO 953-2026-GPP
18/05/2026: SGIST remite la actualización el presupuesto requerido para la prestación adicional del Contrato N°23-2025-ONPE es S/ 4,522,234.57 (Cuatro
millones quinientos veintidós mil doscientos treinta y cuatro con cincuenta y siete milésimas) equivalente a 60.75% del monto total del Contrato (S/7,444,467.19). El servicio de operación está contemplado desde el 21/05/2026 hasta el 30/06/2026 (41 días calendario)/ INFORME 1967-2026-SGIST y MEMORANDO 2448-2026-GITE
18/05/2026:SGIST SOLICITA HABILITACIÓN PRESUPUESTAL PARA LA PRESTACIÓN ADICIONAL POR EL MONTO DE s/ 2,022,146.00 /INFORME 2002-2026-SGIST.
13/05/2026: MEMORANDO 002357-2026/GITE, PRESTACIÓN ADICIONAL AL CONTRATO N° 23-2025-ONPE - SERVICIO DE WEB HOSTING -EG2026 – SEGUNDA ELECCIÓN PRESIDENCIAL
12/05/2026: INFORME 001885-2026/SGIST-GITEORME 1885-2026-SGIST, PRESTACIÓN ADICIONAL AL CONTRATO N° 23-2025-ONPE - SERVICIO DE WEB HOSTING -EG2026 – SEGUNDA ELECCIÓN PRESIDENCIAL.   El presupuesto requerido para la prestación adicional del Contrato N°23-2025-ONPE es S/ 2,319,806.89 equivalente a 31.16% del monto
total del Contrato (S/ 7,444,467.19)
CONTRATO N° 23-2025-ONPE, SE SOLICITO CONTINUIDAD DEL CONTRATO ACTUAL</t>
  </si>
  <si>
    <t>CER- 306</t>
  </si>
  <si>
    <t>2300-2026</t>
  </si>
  <si>
    <t>ITG SOLUTIONS S.A.C.</t>
  </si>
  <si>
    <t>21/05/2026 - 30/06/2026</t>
  </si>
  <si>
    <t>NO EJECUTADO / PRIORIZADO</t>
  </si>
  <si>
    <t>ANA OTERO</t>
  </si>
  <si>
    <t>000084-2026/CSL-SGIST-GITE</t>
  </si>
  <si>
    <t>001827-2026-SGIST
001794-2026/SGIST-GITE</t>
  </si>
  <si>
    <t>02243-2026/GITE</t>
  </si>
  <si>
    <t>22/05/2026: PROVEIDO 003759-2026/SGPR-GPP, DERIVADO A MONITOR DE GPP PARA ATENCION DEL CCP
22/05/2026: MEMORANDO 003049-2026/SGL-GAD, SE SOLICITO CCP N° 2301
22/05/2026 CCP SE ENCUENTRA PARA ATENCIÓN DE SGPR
21/05/2026: HOJA DE ENVIO 003323-2026/JAPROG-SGL-GAD - JAPROG SOLICITA LA CCP 2301 POR S/ 32,000 
19/05/2026: MEMORANDO 002453-2026/GITE - SE REMITE LA VERIFICACIÓN DE CUMPLIMIENTO (FM07 GAD/LOG) DE LOS TERMINOS DE REFERENCIA PARA  EL SERVICIO DE ETHICAL HACKING – EG 2026 (SEP) - GITE - PS – 1860
18/5/2026: INFORME 001984-2026/SGIST-GITE - SE REMITE LA VERIFICACIÓN DE CUMPLIMIENTO (FM07 GAD/LOG) DE LOS TERMINOS DE REFERENCIA PARA  EL SERVICIO DE ETHICAL HACKING – EG 2026 (SEP) - GITE - PS – 1860
18/05/2026: COTIZACION DE STRATEGOS Y ASOCIADOS POR EL MONTO DE S/32000
18/05/2026: INFORME 001984-2026/SGIST-GITE y MEMO 2453-2026-GITE- SE REMITE LA VERIFICACIÓN DE CUMPLIMIENTO (FM07 GAD/LOG) DE LOS TERMINOS DE REFERENCIA PARA  EL SERVICIO DE ETHICAL HACKING – EG 2026 (SEP) - GITE - PS – 1860
14/05/2026: HOJA DE ELEVACION N° 003053-2026/JAPROG-SGL-GAD 
14/05/2026: informe 000006-2026/JCM-SGIST-GITE
14/05/2026: OFERTA ECONOMICA DE STRATEGOS POR S/ 32 000
14/05/2026: HOJA DE ELEVACION 003053-2026/JAPROG-SGL-GAD, SE SOLICITA LA VERIFICACIÓN DE CUMPLIMIENTO DE LOS TDR PARA  EL SERVICIO DE ETHICAL HACKING – EG 2026 (SEP) - GITE - PS – 1860
07/05/2026: PROVEIDO 006078-2026/JAPROG-SGL-GAD, DERIVADO PARA ATENCION ANA OTERO
06/05/2026: SE REMITIO MEMORANDO 002243-2026/GITE, DERIVANDO EL TDR, P.S. A LOGISTICA PARA INICIO PRESTACIÓN ADICIONAL
6/5/2026 SE REMITE NUEVO INFORME. EL REQUERIMIENTO ES PARA MAYO
04/05/2026: SGIST REMITIO INFORME 001794-2026/SGIST-GITE EN FLUJO DE REVISION DE GITE</t>
  </si>
  <si>
    <t>CER-2301</t>
  </si>
  <si>
    <t>1895-2026</t>
  </si>
  <si>
    <t>STRATEGOS Y ASOCIADOS S.A.C</t>
  </si>
  <si>
    <t>fecha fin 22/06/2026</t>
  </si>
  <si>
    <t>presentado</t>
  </si>
  <si>
    <t>pago se realizada al finalizar el servicio</t>
  </si>
  <si>
    <t>08/06/2026: proveido n° 006446-2026/SGIST-GITE -STRATEGOS Y ASOCIADOS S.A.C - SEGUNDO ENTREGABLE DEL SERVICIO DE ETHICAL HACKING SEP 2026
08/06/2026: CARTA 0021-2026-STRATEGOS Y ASOCIADOS - SEGUNDO ENTREGABLE DEL SERVICIO DE ETHICAL HACKING SEP 2026
07/06/2026 CONTRATISTA PRESENTA ENTREGABLE 2
04/06/2026 MEMORANDO 2811-2026-GITE SE ACEPTA EL ENTREGABLE 1 - PLAN DE TRABAJO</t>
  </si>
  <si>
    <t>23/06/2026: tramite de giro de la orden, en estado pendiente</t>
  </si>
  <si>
    <t>1808-2026-SGIST</t>
  </si>
  <si>
    <t>002264-2026/GITE</t>
  </si>
  <si>
    <t>20/05/2026-  PRESTACIÓN ADICIONAL CON R.G. 235-2026-GAD DEL 20/5/2026 POR EL MONTO DE S/ 152,598.47
07/05/2026: GITE REMITIO MEMORANDO 002264-2026/GITE, SOLICITANDO LA PRESTACIÓN ADICIONAL AL CONTRATO N° 231-2025-ONPE - SERVICIO DE CORREO ELECTRONICO EN LA NUBE -EG2026 – SEGUNDA ELECCIÓN PRESIDENCIAL 2026
5-5 SGIST remite documento para Prestación adicional al Contrato N° 231-2025-ONPE de fecha 19/12/2025, por el 18,17% del monto del contrato original (S/ 840,000,00)</t>
  </si>
  <si>
    <t>CER-559</t>
  </si>
  <si>
    <t xml:space="preserve">O/S 2046
RESOLUCION GERENCIAL N° 000234-2026-GAD/ONPE
</t>
  </si>
  <si>
    <t>DAILY TECHNOLOGY S.A.C</t>
  </si>
  <si>
    <t>fecha fin 30/06/2026</t>
  </si>
  <si>
    <t>000080-2026/CSL-SGIST-GITE</t>
  </si>
  <si>
    <t>001719-2026/SGIST-GITE</t>
  </si>
  <si>
    <t>02115-2026/GITE</t>
  </si>
  <si>
    <t xml:space="preserve">
15/05/2026: proveido006726-2026/JAPROG-SGL-GAD, ATENDIDO| APROBACION DEL CCP 02131 - SERVICIO DE ALQUILER DE EQUIPO COMPUTO – EG 2026 (SEP) –
15/05/2026: MEMORANDO 002863-2026/SGL-GAD, SGL SOLICITA LA APROBACION DECCP N° 2131
14/05/2026: HOJA DE ELEVACION 003082-2026/JAPROG-SGL-GAD,SE SOLICITA LA APROBACION DEL CCP 02131 - SERVICIO DE ALQUILER DE EQUIPO COMPUTO – EG 2026 (SEP) – GITE - PS 001577.
12/05/2026: MEMORANDO 002312-2026/GITE, GITE DERIVO FM 07/GAD A JAPROG PARA CONTINUAR CON EL TRAMITE DE CCP. CUMPLEN AMBOS POSTORES
11/5 SGIST REMITE VERIFICACIÓN DE CUMPLIMIENTO. CUMPLEN AMBOS POSTORES/ INFORME 1874-2026-SGIST. PASA A REVISIÓN DE DOCUMENTOS
07/5 JAPROG REMITE PROPUESTAS PARA VERIFICACIÓN DE CUMPLIMIENTO GF PRINTER SYSTEM SAC S/ 11,475,00;  W &amp; H SOLUTIONS INTEGRALES S.A.C S/ 11,947,50 /HE 2821-2026-JAPROG
28/04/2026: MEMORANDO 002115-2026/GITE, GITE REMITIO PS Y TDR PARA INICIO DE CONTRATACION</t>
  </si>
  <si>
    <t>CER-2131</t>
  </si>
  <si>
    <t>1737-2026</t>
  </si>
  <si>
    <t>GF PRINTER SYSTEM S.A.C</t>
  </si>
  <si>
    <t>60 DIAS O HASTA EL 30 JUNIO 2026</t>
  </si>
  <si>
    <t>24/06/2026: CONFORMIDAD PENDIENTE, SERVICIO CULMINA EL 30/06/2026
23/06/2026_: tramite de giro del servicio a la fecha 23/06/2026 se encuentra pendiente</t>
  </si>
  <si>
    <t>EDIBER NAVARRO</t>
  </si>
  <si>
    <t>001742-2026/SGIST-GITE</t>
  </si>
  <si>
    <t>002153-2026/GITE</t>
  </si>
  <si>
    <t>03/06/2026: GITE INDICO QUE EL REQUERIMIENTO NO SERA PERSISTIDO Y NO SE EJECUTARA, FALTA DOCUMENTO DE RESPUESTA DE GITE EN ATENCION A LO SOLICITADO POR GIEE
29/05/2026: PROVEIDO 000018-2026/GIEE, DERIVADO A GITE PARA GESTION CORRESPONDIENTE
29/05/2026: hoja de elevacion 006352-2026/JASEC-SGL-GAD, JASEC REMITE OBSERVACIONES REALIZADAS POR GERENCIA DE ASESORIA JURIDICA SOBRE LA EJECUCION DE PRESTACIONES ADICIONALES AL CONTRATO N° 0175-2026
28/05/2026: MEMORANDO 000355-2026/GAJ - GAJ REMITIO OPINION CORRESPONDIENTE LA PRESTACION ADICIONAL, de la revisión efectuada,se advierte que el sustento remitido no desarrolla con suficiente claridad por qué la prestación adicional solicitada resultaría indispensable para el cumplimiento de la finalidad pública del contrato, conforme a lo exigido por el numeral 141.1 del artículo 141del Reglamento de la Ley N.° 32069. En ese sentido, se devuelve el expediente a fin de que el área usuaria complemente el sustento técnico correspondiente, precisando los aspectos antes señalados, para la continuidad de la evaluación legal respectiva
28/05/2026: INFORME 000297-2026/SGAD-GAJ - INFORME LEGAL DE LA SUBGERENCIA DE ASESORIA JURIDICA SOBRE LA PRESTACION ADICIONAL AL CONTRATO
26/05/2026: MEMORANDO 001609-2026/GAD - Sobre ejecución de prestaciones adicionales al Contrato N° 00175-2025-ONPE “Servicio de Atención de Refrigerios - EG 2026”
26/05/2026: INFORME 001389-2026/SGL-GAD - SGL REMITE PROYECTO DE INFORME Y RESOLUCION SOBRE EJECUCION DE PRESTACION ADICIONALES  AL CONTRATO N° 0175-2026-ONPE
25/05/2026: proeido 011369-2026/JASEC-SGL-GAD para derivarse expediente a ediber navarro
22/05/2026: PROVEIDO 003769-2026/SGPR-GPP, DERIVADO A MONITORA PARA APROBACION DE CCP 1186
22/05/2026: MEMORANDO 003061-2026/SGL-GAD - SE REMITE PRECISIÓN A SOLICITUD DE APROBACION DE AMPLIACION DE CCP 1186 - PRESTACION adicional del “SERVICIO DE ATENCION DE REFRIGERIOS – EG 2026 (SEP).
22/05/2026: HOJA DE ENVIO 000468-2026/JASEC-SGL-GAD - solicitud de Aprobación de CCP N° 1186 para la Prestación adicional al Contrato N° 175-2026-ONPE - SERVICIO DE ATENCIÓN DE REFRIGERIOS – EG 2026
21/05/2026: MEMORANDO003035-2026/SGL-GAD, SE SOLICITA APROBACION DE CCP 1186
21/05/2026: PROVEIDO 011069-2026/JASEC-SGL-GAD, DERIVADO A ESPECIALISTA EDIBER NAVARRO PARA LOS TRAMITES CORRESPONDIENTES
21/05/2026: MEMORANDO 001842-2026/GIEE, GIEE COMUNICO A JASEC LA RESPUESTA DE HABILITACION PRESUPUESTAL PARA EL SERVICIO DE REFRIGERIOS
21/05/2026: PROVEIDO 020042-2026/GOECOR, GOECOR COMUNICO LA SOLICITUD DE HABILITACION PARA EL SERVICIO DE REFRIGERIOS
20/05/2026: MEMORANDO 001814-2026/GIEE, GIEE SOLICITO REALIZAR TRAMITE PRESUPUESTAL A LA GOECOR PARA COMPLETAR EL MONTO DE CCP FALTANTE 22000
12/05/2026_: PROVEIDO 006494-2026/SGL-GAD, PRESTACION ADICIONAL EN JASEC
12/05/2026: PROVEIDO 009850-2026/JASEC-SGL-GAD, DERIVADO A EDIBER NAVARRO DE JASEC
11/05/2026: memorando 001547-2026/GIEE, GIEE REMITIO SOLICITUD DE PRESTACION ADICIONAL AL CONTRATO N° 0175-2026-ONEP
30/04/2026: memorando 002153-2026/GITE, SE REMITE PEDIDO DE SERVICIO N° 001841 - 001846 PARA LA  CONTINUIDAD DEL SERVICIO DE ATENCION DE REFRIGERIOS CONTRATO N° 175-2026-ONPE PARA LA SEGUNDA VUELTA ELECTORAL EG 2026 (SEP)
29/04/2026: informe 001742-2026/SGIST-GITE, SE REMITE PEDIDO DE SERVICIO N° 001841 - 001846 PARA LA  CONTINUIDAD DEL SERVICIO DE ATENCION DE REFRIGERIOS CONTRATO N° 175-2026-ONPE PARA LA SEGUNDA VUELTA ELECTORAL EG 2026 (SEP)</t>
  </si>
  <si>
    <t>CER-1186</t>
  </si>
  <si>
    <t>GAD (SGMCP) COMUNICO QUE LA CONTRATACION DE OFICINAS SE ENCUENTRA CUBIERTO LA CONTRATACIÓN</t>
  </si>
  <si>
    <t>001688-2026/GITE</t>
  </si>
  <si>
    <t>• RESOLUCION N° 0209-2026-GAD/ONPE NOTIFICADA 05/05/2026
 • SEGUNDA ADENDA DEL CONTRATO N° 067-2025-ONPE
03/06/2026: ORDEN DE SERVICIO N° 01886-2026 CORRESPONDIENTE A LA PRESTACION ADICIONAL DEL SERVICIO POR EL MONTO DE s/ 236 000
29/04/2026: MEMORANDO 000629-2026/SGSI-GITE - Validación de oferta economica (estructura de costos) remitida por el contratista para la ejecución de la prestación adicional al Contrato N° 067-2025-ONPE “Servicio de auditoría informáticia para las soluciones tecnológicas de soporte electoral al escrutinio, cómputo de resultados y presentación de resultados – EG 2026”.
29/04/2026: MEMORANDO 000610-2026/SGSI-GITE - LA SGSI REMITE TERMINOS DE REFERENCIA ACTUALIZADOS DEL SERVICIO DE AUDITORÍA INFORMÁTICA PARA LAS SOLUCIONES TECNOLÓGICAS DE CÓMPUTO DE RESULTADOS Y PRESENTACIÓN DE RESULTADOS – EG 2026 - SEGUNDA ELECCIÓN PRESIDENCIAL - SEP 2026 PARA SOLICITUD DE ESTRUCTURA DE COSTOS
29/04/2026., PROVEIDO 008633-2026/JASEC-SGL-GAD - REMITE OFERTA ECONÓMICA
29/04/2026: ESTRUCTURA DE COSTOS REMITIDA POR EL PROVEEDOR SE ESTIMA POR S S/ 236 000
29/04/2026: MEMORANDO 002144-2026/GITE, Validación de oferta economica (estructura de costos) remitida por el contratista para la ejecución de la prestación adicional al Contrato N° 067-2025-ONPE “Servicio de auditoría informáticia para las soluciones tecnológicas de soporte electoral al escrutinio, cómputo de resultados y presentación de resultados – EG 2026”
29/04/2026: INFORME 000627-2026/SGSI-GITE, SGSI REALIZO LA VALIDACION DE OFERTA ECONOMICA ESTRUCTURA DE COSTOS REMITIDA POR EL CONTRATISTA
29/04/2026: HOJ DE ELEVACION 000095-2026/SGL-GAD, Se solicita validar la oferta economica (estructura de costos) remitida por el contratista para la ejecución de la prestación adicional al Contrato N° 067-2025-ONPE “Servicio de auditoría informáticia para las soluciones tecnológicas de soporte electoral al escrutinio, cómputo de resultados y presentación de resultados – EG 2026”
28/04/2026: CARTA N 000834-2026/SGL-GAD, Solicitud de oferta económica en el marco del requerimiento de prestaciones adicionales al Contrato N° 067-2025-ONPE - “Servicio de auditoría informática para las soluciones tecnológicas de soporte electoral al escrutinio, cómputo de resultados y presentación de resultados– EG 2026”
27/04/2026: OJA DE ENVIO 000373-2026/JASEC-SGL-GAD, JASEC SOLICITA LA ESTRUCTURA DE COSTOS PARA LA PRESTACIÓN ADICIONAL AL CONTRATO NRO 067-2025-ONPE - DEL SERVICIO DE AUDITORÍA INFORMÁTICA PARA LAS SOLUCIONES TECNOLÓGICAS DE CÓMPUTO DE RESULTADOS Y PRESENTACIÓN DE RESULTADOS – EG 2026 - SEGUNDA ELECCIÓN PRESIDENCIAL - SEP 2026
27/04/2026: MEMORANDO 002099-2026/GITE, LA SGSI SOLICITA LA ESTRUCTURA DE COSTOS PARA LA PRESTACIÓN ADICIONAL AL CONTRATO NRO 067-2025
24/04/2026: INFORME 000598-2026/SGSI-GITE, SGSI SOLICITO LA ESTRUCTURA DE COSTOS PARA LA PRESTACIÓN ADICIONAL AL CONTRATO NRO 067-2025-ONPE - DEL SERVICIO DE AUDITORÍA INFORMÁTICA PARA LAS SOLUCIONES TECNOLÓGICAS DE CÓMPUTO DE RESULTADOS Y PRESENTACIÓN DE RESULTADOS – EG 2026 - SEGUNDA ELECCIÓN PRESIDENCIAL - SEP 2026
SE SOLICITO CONTINUIDAD DEL CONTRATO N° 067-2025-ONPE</t>
  </si>
  <si>
    <t>CER-00119</t>
  </si>
  <si>
    <t>1886-2026</t>
  </si>
  <si>
    <t>M &amp; T CORPORATION DEL PERU S.A.C</t>
  </si>
  <si>
    <t xml:space="preserve">45 DIAS CALENDARIOS </t>
  </si>
  <si>
    <t>001002-2026/SGSI-GITE</t>
  </si>
  <si>
    <t>002956-2026/GITE</t>
  </si>
  <si>
    <t>EN TRAMITE DE PAGO EL ENTREGABLE 1 DEL SERVICIO
18/06/2026: hoja de elevacion 007362-2026/JASEC-SGL-GAD, JASEC solicita la conformidad del proveedor M &amp; T corporation del peru quinto entregable
18/06/2026: Carta n° 017-2025-MT/SAI ONPE EG2026 - proveedor presento quinta factura para tramite de conformidad
10/06/2026: MEMORANDO 002956-2026/GITE - OBSERVACIÓN  AL ENTREGABLE 1 DEL SERVICIO DE AUDITORÍA INFORMÁTICA PARA LAS SOLUCIONES TECNOLÓGICAS DE SOPORTE ELECTORAL AL ESCRUTINIO,
10/06/2026: INFORME 001002-2026/SGSI-GITE, OBSERVACIÓN  AL ENTREGABLE 1 DEL SERVICIO DE AUDITORÍA INFORMÁTICA PARA LAS SOLUCIONES TECNOLÓGICAS DE SOPORTE ELECTORAL AL ESCRUTINIO, CÓMPUTO DE RESULTADOS Y PRESENTACIÓN DE RESULTADOS – EG 2026 – PRESTACIÓN ADICIONAL SEGUNDA ELECCIÓN PRESIDENCIAL
06/06/2026: CARTA 015-2026-MT/SAI ONPE EG2026 - PRESENTACIÓN DEL PREDICTAMEN TÉCNICO</t>
  </si>
  <si>
    <t>SGSI REMITIO INFORME 001002-2026/SGSI-GITE -  ENTREGABLE 1 DEL SERVICIO DE AUDITORÍA INFORMÁTICA PARA LAS SOLUCIONES TECNOLÓGICAS DE SOPORTE ELECTORAL AL ESCRUTINIO, CÓMPUTO DE RESULTADOS Y PRESENTACIÓN DE RESULTADOS – EG 2026 – PRESTACIÓN ADICIONAL SEGUNDA ELECCIÓN PRESIDENCIAL</t>
  </si>
  <si>
    <t>001673-2026/SGIST-GITE</t>
  </si>
  <si>
    <t>002067-2026/GITE</t>
  </si>
  <si>
    <t xml:space="preserve">29/05/2026: INFORME 000390-2026/JAPROG-SGL-GAD - INFORME SUSTENTATORIO POR LA ADQUISICIÓN DE UTILES DE OFICINA EG2026-SEP, BAJO LA MODALIDAD DE  ACUERDO MARCO –GITE - PC 0362.
26/05/2026: PROVEIDO 007487-2026/JAPROG-SGL-GAD, INFORME DE ESTRATEGIA DERIVADO A JAPROG PARA ELABORACION DE E.T.
25/05/2026: INFORME 000365-2026/JAPROG-SGL-GAD, JAPROG REALIZO INFORME DE ESTRATEGIA PARA LA ADQUISICION DE UTILES DE OFICINA
22/05/2026: MEMORANDO 002557-2026/GITE, SE INFORMA LAS PRECISIONES A LAS OBSERVACIONES DEL REQUERIMIENTO PC N° 0362-ADQUISICION DE UTILES DE OFICINA- EG 2026 (SEP)-GITE.
22/05/2026: INFORME 002065-2026/SGIST-GITE, SE REMITIO PRECISIONES A LAS OBSERVACIONES DEL P.C. 362
21/05/2026: HOJA DE ELEVACION N° 03326-2026/JAPROG-SGL-GAD - SE OBSERVA REQUERIMIENTO PC N° 0362-ADQUISICION DE UTILES DE OFICINA- EG 2026 (SEP)-GITE.
20/05/2026: INFORME DE JAPROG EN ELABORACION ESTRATEGIA PARA LA ADQUSICION DE UTILES DE OFICINA SEP 2026
19/05/2026: PROVEIDO 005107-2026/GP, ATENDIDO|  APROBACION DEL CCP 2027- ADQUISICION DE UTILES DE OFICINA -EG 2026 (SEP)-SGMCP/GAD- GITE
19/05/2026: INFORME 002201-2026/SGPR-GPP- SE SOLICITA LA APROBACION DEL CCP 2027- ADQUISICION DE UTILES DE OFICINA -EG 2026 (SEP)-SGMCP/GAD- GITE
18/05/2026_: MEMORANDO 002903-2026/SGL-GAD, SE SOLICITA LA APROBACION DEL CCP 2027- ADQUISICION DE UTILES DE OFICINA -EG 2026 (SEP)-SGMCP/GAD- GITE PC 362- CEAM.
18/05/2026: HOJA DE ELEVACION 003148-2026/JAPROG-SGL-GAD, SE SOLICITA LA APROBACION DEL CCP 2027- ADQUISICION DE UTILES DE OFICINA -EG 2026 (SEP)-SGMCP/GAD- GITE PC 362- CEAM.
15/05/2026: MEMORANDO 002425-2026/GITE,GITE PC 0362, SE INFORMA LA PERSISTENCIA DE LA NECESIDAD DEL REQUERIMIENTO PARA LA ADQUISICIÓN DE UTILES DE OFICINA MEDIANTE CEAM-EG 2026 (SEP)- POST ELECTORAL.
15/05/2026: SGIST REMITIO LA PERSISTENCIA 001970-2026/SGIST-GITE, A LA ADQUISICION DE LOS UTILES DE OFICINA
13/05/2026: HOJA DE ELEVACION N° 002979-2026/JAPROG-SGL-GAD, JAPROG REALIZO LA DEVOLUCION DEL REQUERIMIENTO PARA LA “ADQUISICIÓN DE UTILES DE OFICINA” MEDIANTE CEAM-EG 2026-SEP-PC N° 0362-GITE
11/05/2026: MEMORANDO 002770-2026/SGL-GAD, SE SOLICITA LA APROBACION DEL CCP 2027- ADQUISICION DE UTILES DE OFICINA -EG 2026 (SEP)-SGMCP/GAD- GITE PC 362- CEAM
28/04/2026: INFORME DE GAD A SGL DONDE REMITE ET Y PC PARA INICIO DE ADQUISICION
28/04/2026: INFORME 000042-2026/ALM-SGL-GAD, ALMACEN CENTRAL REMITIO INFORME PEDIDO DE COMPRA Y ET
23/04/2026: MEMORANDO N° 002067-2026/GITE, GITE REMITIO </t>
  </si>
  <si>
    <t>CER-2027</t>
  </si>
  <si>
    <t>329-2026</t>
  </si>
  <si>
    <t>VENCOM EMPRESARIAL E.I.R.L</t>
  </si>
  <si>
    <t>11/06/2026: orden girada con fecha al 11/06/2026</t>
  </si>
  <si>
    <t>solicitud 90-SISPLAN</t>
  </si>
  <si>
    <t>00911-2026/GPP</t>
  </si>
  <si>
    <t>SE REALIZO MODIFICACION PARA COMPLETAR EL PRECIO EN LA SOLICITUD DE CCP</t>
  </si>
  <si>
    <t>11/06/2026: se realizo el pago de la oc con fecha al 11/06/2026</t>
  </si>
  <si>
    <t>330-2026</t>
  </si>
  <si>
    <t>HAM &amp; SHA E.I.R.L</t>
  </si>
  <si>
    <t>23/06/2026: tramite de pago de la orden pendiente a la fecha 23/06/226</t>
  </si>
  <si>
    <t xml:space="preserve">05/06/2026: PROVEIDO 006538-2026/GITE - ITEM 5 – EN ESTADO DESIERTO BAJO LA MODALIDAD DE ACUERDO MARCO-EG 2026-POST ELECTORAL–GITE - PC 0362
05/06/2026: HOJA DE ELEVACION N° 003701-2026/JAPROG-SGL-GAD - ITEM 5 – EN ESTADO DESIERTO BAJO LA MODALIDAD DE ACUERDO MARCO-EG 2026-POST ELECTORA
29/05/2026: INFORME 000390-2026/JAPROG-SGL-GAD - INFORME SUSTENTATORIO POR LA ADQUISICIÓN DE UTILES DE OFICINA EG2026-SEP, BAJO LA MODALIDAD DE  ACUERDO MARCO –GITE - PC 0362.
26/05/2026: PROVEIDO 007487-2026/JAPROG-SGL-GAD, INFORME DE ESTRATEGIA DERIVADO A JAPROG PARA ELABORACION DE E.T.
25/05/2026: INFORME 000365-2026/JAPROG-SGL-GAD, JAPROG REALIZO INFORME DE ESTRATEGIA PARA LA ADQUISICION DE UTILES DE OFICINA
22/05/2026: MEMORANDO 002557-2026/GITE, SE INFORMA LAS PRECISIONES A LAS OBSERVACIONES DEL REQUERIMIENTO PC N° 0362-ADQUISICION DE UTILES DE OFICINA- EG 2026 (SEP)-GITE.
22/05/2026: INFORME 002065-2026/SGIST-GITE, SE REMITIO PRECISIONES A LAS OBSERVACIONES DEL P.C. 362
21/05/2026: HOJA DE ELEVACION N° 03326-2026/JAPROG-SGL-GAD - SE OBSERVA REQUERIMIENTO PC N° 0362-ADQUISICION DE UTILES DE OFICINA- EG 2026 (SEP)-GITE.
20/05/2026: INFORME DE JAPROG EN ELABORACION ESTRATEGIA PARA LA ADQUSICION DE UTILES DE OFICINA SEP 2026
19/05/2026: PROVEIDO 005107-2026/GP, ATENDIDO|  APROBACION DEL CCP 2027- ADQUISICION DE UTILES DE OFICINA -EG 2026 (SEP)-SGMCP/GAD- GITE
19/05/2026: INFORME 002201-2026/SGPR-GPP- SE SOLICITA LA APROBACION DEL CCP 2027- ADQUISICION DE UTILES DE OFICINA -EG 2026 (SEP)-SGMCP/GAD- GITE
18/05/2026_: MEMORANDO 002903-2026/SGL-GAD, SE SOLICITA LA APROBACION DEL CCP 2027- ADQUISICION DE UTILES DE OFICINA -EG 2026 (SEP)-SGMCP/GAD- GITE PC 362- CEAM.
18/05/2026: HOJA DE ELEVACION 003148-2026/JAPROG-SGL-GAD, SE SOLICITA LA APROBACION DEL CCP 2027- ADQUISICION DE UTILES DE OFICINA -EG 2026 (SEP)-SGMCP/GAD- GITE PC 362- CEAM.
15/05/2026: MEMORANDO 002425-2026/GITE,GITE PC 0362, SE INFORMA LA PERSISTENCIA DE LA NECESIDAD DEL REQUERIMIENTO PARA LA ADQUISICIÓN DE UTILES DE OFICINA MEDIANTE CEAM-EG 2026 (SEP)- POST ELECTORAL.
15/05/2026: SGIST REMITIO LA PERSISTENCIA 001970-2026/SGIST-GITE, A LA ADQUISICION DE LOS UTILES DE OFICINA
13/05/2026: HOJA DE ELEVACION N° 002979-2026/JAPROG-SGL-GAD, JAPROG REALIZO LA DEVOLUCION DEL REQUERIMIENTO PARA LA “ADQUISICIÓN DE UTILES DE OFICINA” MEDIANTE CEAM-EG 2026-SEP-PC N° 0362-GITE
11/05/2026: MEMORANDO 002770-2026/SGL-GAD, SE SOLICITA LA APROBACION DEL CCP 2027- ADQUISICION DE UTILES DE OFICINA -EG 2026 (SEP)-SGMCP/GAD- GITE PC 362- CEAM
28/04/2026: INFORME DE GAD A SGL DONDE REMITE ET Y PC PARA INICIO DE ADQUISICION
28/04/2026: INFORME 000042-2026/ALM-SGL-GAD, ALMACEN CENTRAL REMITIO INFORME PEDIDO DE COMPRA Y ET
23/04/2026: MEMORANDO N° 002067-2026/GITE, GITE REMITIO </t>
  </si>
  <si>
    <t>332-2026</t>
  </si>
  <si>
    <t>GRUPO ALTAPEL PERU S.A.C</t>
  </si>
  <si>
    <t>331-2026</t>
  </si>
  <si>
    <t>REPRESENTACIONES GALARE S.A.C</t>
  </si>
  <si>
    <t>15/06/2026: se realizo el pago de la orden con fecha al 15/06/2026</t>
  </si>
  <si>
    <t xml:space="preserve">dEVENGADO </t>
  </si>
  <si>
    <t>333-2026</t>
  </si>
  <si>
    <t>INDUSTRIAS JAZMAR S.A.C</t>
  </si>
  <si>
    <t>17/06/2026: se realizo el pago de la orden con fecha al 17/06/2026</t>
  </si>
  <si>
    <t>ahora: clip de metal 30 mm aprox x 100
antes: CLIP DE METAL 33 mm X 100</t>
  </si>
  <si>
    <t>04/06/2026: CORREO DE LA SGSI COMUNICA QUE EL ITEM NO SERA REQUERIDO</t>
  </si>
  <si>
    <t>03/06/2026: GITE INDICO QUE EL REQUERIMIENTO NO SERA PERSISTIDO Y NO SE EJECUTARA, FALTA DOCUMENTO DE RESPUESTA DE GITE EN ATENCION A LO SOLICITADO POR GIEE
29/05/2026: PROVEIDO 000018-2026/GIEE, DERIVADO A GITE PARA GESTION CORRESPONDIENTE
29/05/2026: hoja de elevacion 006352-2026/JASEC-SGL-GAD, JASEC REMITE OBSERVACIONES REALIZADAS POR GERENCIA DE ASESORIA JURIDICA SOBRE LA EJECUCION DE PRESTACIONES ADICIONALES AL CONTRATO N° 0175-2026
28/05/2026: MEMORANDO 000355-2026/GAJ - GAJ REMITIO OPINION CORRESPONDIENTE LA PRESTACION ADICIONAL
28/05/2026: INFORME 000297-2026/SGAD-GAJ - INFORME LEGAL DE LA SUBGERENCIA DE ASESORIA JURIDICA SOBRE LA PRESTACION ADICIONAL AL CONTRATO
26/05/2026: MEMORANDO 001609-2026/GAD - Sobre ejecución de prestaciones adicionales al Contrato N° 00175-2025-ONPE “Servicio de Atención de Refrigerios - EG 2026”
26/05/2026: INFORME 001389-2026/SGL-GAD - SGL REMITE PROYECTO DE INFORME Y RESOLUCION SOBRE EJECUCION DE PRESTACION ADICIONALES  AL CONTRATO N° 0175-2026-ONPE
25/05/2026: proeido 011369-2026/JASEC-SGL-GAD para derivarse expediente a ediber navarro
22/05/2026: PROVEIDO 003769-2026/SGPR-GPP, DERIVADO A MONITORA PARA APROBACION DE CCP 1186
22/05/2026: MEMORANDO 003061-2026/SGL-GAD - SE REMITE PRECISIÓN A SOLICITUD DE APROBACION DE AMPLIACION DE CCP 1186 - PRESTACION adicional del “SERVICIO DE ATENCION DE REFRIGERIOS – EG 2026 (SEP).
22/05/2026: HOJA DE ENVIO 000468-2026/JASEC-SGL-GAD - solicitud de Aprobación de CCP N° 1186 para la Prestación adicional al Contrato N° 175-2026-ONPE - SERVICIO DE ATENCIÓN DE REFRIGERIOS – EG 2026
21/05/2026: MEMORANDO003035-2026/SGL-GAD, SE SOLICITA APROBACION DE CCP 1186
21/05/2026: PROVEIDO 011069-2026/JASEC-SGL-GAD, DERIVADO A ESPECIALISTA EDIBER NAVARRO PARA LOS TRAMITES CORRESPONDIENTES
21/05/2026: MEMORANDO 001842-2026/GIEE, GIEE COMUNICO A JASEC LA RESPUESTA DE HABILITACION PRESUPUESTAL PARA EL SERVICIO DE REFRIGERIOS
21/05/2026: PROVEIDO 020042-2026/GOECOR, GOECOR COMUNICO LA SOLICITUD DE HABILITACION PARA EL SERVICIO DE REFRIGERIOS
20/05/2026: MEMORANDO 001814-2026/GIEE, GIEE SOLICITO REALIZAR TRAMITE PRESUPUESTAL A LA GOECOR PARA COMPLETAR EL MONTO DE CCP FALTANTE 22000
12/05/2026_: PROVEIDO 006494-2026/SGL-GAD, PRESTACION ADICIONAL EN JASEC
12/05/2026: PROVEIDO 009850-2026/JASEC-SGL-GAD, DERIVADO A EDIBER NAVARRO DE JASEC
11/05/2026: memorando 001547-2026/GIEE, GIEE REMITIO SOLICITUD DE PRESTACION ADICIONAL AL CONTRATO N° 0175-2026-ONEP
30/04/2026: memorando 002153-2026/GITE, SE REMITE PEDIDO DE SERVICIO N° 001841 - 001846 PARA LA  CONTINUIDAD DEL SERVICIO DE ATENCION DE REFRIGERIOS CONTRATO N° 175-2026-ONPE PARA LA SEGUNDA VUELTA ELECTORAL EG 2026 (SEP)
29/04/2026: informe 001742-2026/SGIST-GITE, SE REMITE PEDIDO DE SERVICIO N° 001841 - 001846 PARA LA  CONTINUIDAD DEL SERVICIO DE ATENCION DE REFRIGERIOS CONTRATO N° 175-2026-ONPE PARA LA SEGUNDA VUELTA ELECTORAL EG 2026 (SEP)</t>
  </si>
  <si>
    <t>2.3.1.99.1.3</t>
  </si>
  <si>
    <t>FORMATO CLAVES NUMERADAS</t>
  </si>
  <si>
    <t>NO PROGRAMADO</t>
  </si>
  <si>
    <t>SOLICITUD N° 098-SISPLAN</t>
  </si>
  <si>
    <t>000945-2026/GPP</t>
  </si>
  <si>
    <t>SE PRIORIZO SALDOS DE FORMATOS CLAVES Y DEL ASISTENTE CLAVES NUMERADAS PARA NUEVO LS SOLICITADO POR LA SGGDI</t>
  </si>
  <si>
    <t>YAIPEN JUAN</t>
  </si>
  <si>
    <t>000010-2026/CBC-GITE</t>
  </si>
  <si>
    <t>01739-2026/SGIST-GITE</t>
  </si>
  <si>
    <t>2213-2026-GITE</t>
  </si>
  <si>
    <t>* PROVEIDO 006265-2026/JAPROG-SGL-GAD, SE REMITIO VERIIFICACION DE CUMPLIMIENTO A JAPROG PARA TRAMITE DE CCP
* MEMORANDO 002301-2026/GITE, GITE REMITIO VERIFICACION DE CUMPLIMIENTO
* Se remite la EETT en formato FM28-GAD/LOG ya que los postores cotizan a precios para una contratación menor
*JAPROG devuelve el requerimiento para revisión y evaluación;  como resultado de la indagación de mercado realizada, se solicitaron
cotizaciones a empresas del rubro, obteniéndose tres (03) cotizaciones, de las cuales ENOTRIA S.A., cotizó por el monto de S/ 26,500.00.
• GRÁFICOS Y FORMULARIOS E.I.R.L., cotizó por el monto de S/ 28,000.00.
• FORMATOS TÉCNICOS Y DERIVADOS S.A. – FORTESA, cotizó por el monto de S/ 59,900.00 dos (02) presentan montos menores a 8 UIT  / HE 2737-2026-JAPROG</t>
  </si>
  <si>
    <t>CER-2105</t>
  </si>
  <si>
    <t>267-2026</t>
  </si>
  <si>
    <t>000014-2026-CBS-GITE</t>
  </si>
  <si>
    <t>003037-2026-GITE</t>
  </si>
  <si>
    <t>12/06/2026: se realizo el informe 000014-2026/CBC-GITE - CON CONFORMIDAD ADQUISICIÓN DE FORMATO DE CLAVES NUMERADAS - EG 2026 (SEP): SE SOLICITA AL ÁREA USUARIA BRINDAR LA CONFORMIDAD DE LA ORDEN DE COMPRA 000267-2026, DEBIDO A QUE EL PROVEEDOR YA REMITIÓ SU FACTURA</t>
  </si>
  <si>
    <t>ALQUILER DE EQUIPOS DE GRABACIÓN</t>
  </si>
  <si>
    <t>SISPLAN 58-SEP 2026</t>
  </si>
  <si>
    <t>MEMORANDO 854-2026-GPP</t>
  </si>
  <si>
    <t>SGIST SOLICITO MODIFICACION PRESUPUESTAL PARA EL ITEM NO PROGRAMADO ALQUILER DE EQUIPO DE GRABACION</t>
  </si>
  <si>
    <t>000086-2026/CSL-SGIST-GITE</t>
  </si>
  <si>
    <t>001907-2026-SGIST</t>
  </si>
  <si>
    <t>002333-2026-GITE</t>
  </si>
  <si>
    <r>
      <rPr>
        <sz val="9"/>
        <color rgb="FF000000"/>
        <rFont val="Aptos Narrow"/>
        <family val="2"/>
        <scheme val="minor"/>
      </rPr>
      <t>25/05/2026: ORDEN DE SERVICIO 1890 - PARA FIRMA DE O.S
22/05/2026: PROVEIDO 007233-2026/JAPROG-SGL-GAD, DERIVADO A ESPECIALISTA DE JAPROG PARA REMISION DE LA ORDEN DE SERVICIO
21/05/2026: INFORME 002287-2026/SGPR-GPP, SGPR APROBO EL CCP 02284
21/05/2026: INFORME 003043-2026/SGL-GAD - SE SOLICITA LA APROBACION DEL CCP 02284 -
20/05/2026: hoja de elevacion n° 003285-2026/JAPROG-SGL-GAD,SE SOLICITA LA APROBACION DEL CCP 02284 - SERVICIO DE ALQUILER DE EQUIPOS DE GRABACIÓN – EG 2026 (SEP)– GITE - PS 02044.
18/05/2026: MEMORANDO 002451-2026/GITE,  SE REMITE LA VERIFICACIÓN DE CUMPLIMIENTO (FM07 GAD/LOG) DE LOS TERMINOS DE REFERENCIA PARA  EL SERVICIO DE ALQUILER DE EQUIPOS DE GRABACIÓN – EG 2026 (SEP)- GITE- PS 02044
18/5/2026: SGIST REMITE VERIFICACION DE CUMPLIMIENTO. CUMPLE GLEFF PERU SAC. / INFORME 1982-2026-SGIST. ENTRA AL FLUJO DE REVISIÓN DE DOCUMENTOS
15/05/2026: PROVEIDO 005545-2026/GITE, SE DERIVO COTIZACION PARA LA RESPECTIVA VERIFICACION DE CUMPLIMIENTO
14/05/2026: proveedor GLEF PERU S.A.C remitio cotizacion para alquiler de grabacion por el monto de S/ 14160
13/05/2026: REQUERIMIENTO ASIGNADO A</t>
    </r>
    <r>
      <rPr>
        <b/>
        <sz val="9"/>
        <color rgb="FFFF0000"/>
        <rFont val="Aptos Narrow"/>
        <family val="2"/>
        <scheme val="minor"/>
      </rPr>
      <t xml:space="preserve"> JUAN YAIPEN
</t>
    </r>
    <r>
      <rPr>
        <sz val="9"/>
        <color rgb="FF000000"/>
        <rFont val="Aptos Narrow"/>
        <family val="2"/>
        <scheme val="minor"/>
      </rPr>
      <t>12/05/2026: SE REMITE PEDIDO Y TDR A JAPROG
12/05/2026: INFORME DE SGIST EN ELABORACION PARA REMITIRSE TDR ACTUALIZADO
11/05/2026: HOJA DE ENVIO 000558-2026/JEP-GITE, ESPECIALISTA DE GITE REMITIO OBSERVACIONES A LOS TDR
11/05/2026: SGIST REMITIO INFORME 001871-2026/SGIST-GITE DONDE SE REMITE  LOS TERMINOS DE REFERENCIA PARA LA CONTRATACION DEL SERVICIO DE ALQUILER DE EQUIPOS DE GRABACION - EG 2026 (SEP) V00 PARA SU CONTRATACION EN EL MARCO DE LA SEGUNDA ELECCION PRESIDENCIAL 2026
08/05/2026: MEDIANTE HOJA DE ENVIO 000086-2026/CSL-SGIST-GITE, SE REMITIO PEDIDO PARA ELABORACION DE TDR</t>
    </r>
  </si>
  <si>
    <t>CER-2284</t>
  </si>
  <si>
    <t>1890-2026</t>
  </si>
  <si>
    <t>GRUPO LOGISTICO ECONOMICO Y FINANCIERO DEL PERU S.A.C</t>
  </si>
  <si>
    <t>45 dias calendarios o hasta el 30 de junio</t>
  </si>
  <si>
    <t>23/06/2026: ejecucion servicio culmina el 30/06/2026</t>
  </si>
  <si>
    <t>SERVICIO DE HABILITACION, ACONDICIONAMIENTO Y LOGISTICA INFORMATICA - PRESTACION ADICIONAL</t>
  </si>
  <si>
    <t>SOLICITUD N° 0237</t>
  </si>
  <si>
    <t>MEMORANDO 001142-2026/GPP</t>
  </si>
  <si>
    <t>GPP APROBO HABILITACION PRESUPUESTAL PARA PRESTACION ADICIONAL DEL SERVICIO DE SHALI APROBADO POR S/6,444,512</t>
  </si>
  <si>
    <t>006960-2026/GITE</t>
  </si>
  <si>
    <t>02433-2026/SGIST-GITE</t>
  </si>
  <si>
    <t>003097-2026/GITE</t>
  </si>
  <si>
    <t>23/06/2026: orden de servicio n° 02307-2026 se notifico la prestacion adicional del servicio de SHALI  por el monto de S/ 6,444,512
 SEGUNDA ADENDA CONTRATO N° 0217-2025 - RESOLUCION GERENCIAL 0272-2026-GAD/ONPE
16/06/2026: INFORME 002433-2026/SGIST-GITE, SGIST REMITIO INFORME CON LA SOLICITUD DE PRESTACIÓN ADICIONAL AL CONTRATO N° 217-2025-ONPE POR LA CONTRATACIÓN DEL "SERVICIO DE HABILITACIÓN, ACONDICIONAMIENTO Y LOGÍSTICA INFORMÁTICA (SHALI) - EG 2026".
16/06/2026: MEMORANDO 001142-2026/GPP - ATENDIDO| SE REALIZÓ LA HABILITACIÓN PRESUPUESTAL PARA EL SERVICIO DE HABILITACIÓN, ACONDICIONAMIENTO Y LOGÍSTICA INFORMÁTICA (SHALI) EN EL MARCO DEL PRESUPUESTO DE SEGUNDA ELECCION PRESIDENCIAL - GITE - SEP 2026 - SISPLAN 237
16/06/2026: INFORME 002653-2026/SGPR-GPP, SGPR REMITIDIO APROBACION DE LA HABILITACION PRESUPUESTAL PARA LA PRESTACION ADICIONAL DEL SERVICIO DE SHALI</t>
  </si>
  <si>
    <t>2307-2026</t>
  </si>
  <si>
    <t>PRESTACION ADICIONAL2</t>
  </si>
  <si>
    <t>20/06/2025 AL 29/06/2026</t>
  </si>
  <si>
    <t>SISPLAN 238-2026-SISPLAN</t>
  </si>
  <si>
    <t>MEMORANDO 1152-GPP</t>
  </si>
  <si>
    <t>02513-2026/SGIST-GITE</t>
  </si>
  <si>
    <t>003224-2026/GITE</t>
  </si>
  <si>
    <t>24/06/2026: SGIST REMITIO SOLICITUD DE PRESTACION ADICIONAL PARA LA CONTRATACION DEL SERVICIO DE CORREO ELECTRONICO EN LA NUBE</t>
  </si>
  <si>
    <t xml:space="preserve">RESUMEN DE REQUERIMIENTOS </t>
  </si>
  <si>
    <t xml:space="preserve">Cantidad de pedidos </t>
  </si>
  <si>
    <t>Estado</t>
  </si>
  <si>
    <t>PARA REMISIÓN DEL REQUERIMIENTO</t>
  </si>
  <si>
    <t>VERIFICACIÓN DE CUMPLIMIENTO</t>
  </si>
  <si>
    <t>TRÁMITE PRESUPUESTAL</t>
  </si>
  <si>
    <t xml:space="preserve">PENDIENTE DE REQUERIR </t>
  </si>
  <si>
    <t>DEVENGADO</t>
  </si>
  <si>
    <t>PROGRAMADO</t>
  </si>
  <si>
    <t>PRIORIZADO</t>
  </si>
  <si>
    <t xml:space="preserve">GITE </t>
  </si>
  <si>
    <t>PRESTACION ADICIONAL EN TRAMITE</t>
  </si>
  <si>
    <t>PRESTACION ADICIONAL EN TRAMITE DE RESOLUCION</t>
  </si>
  <si>
    <t>240-2026</t>
  </si>
  <si>
    <t>001151-2026/GPP</t>
  </si>
  <si>
    <t>SE REALIZO LA HABILITACION PRESUPUESTAL PARA LA PRESTACION ADICIONAL DEL SERVICIO</t>
  </si>
  <si>
    <t>02559-2026/SGIST-GITE</t>
  </si>
  <si>
    <t>003290-2026/GITE</t>
  </si>
  <si>
    <t>26/06/2026: plazo del servicio hasta el 15/07/2026
26/06/2026: MEDIENTA MEMORANDO 003290-2026/GITE, LA GITE REMITIO LA SOLICITUD DE PRESTACION ADICIONAL PARA EL SERVICIO DE WEB HOSTING
26/06/2026: MEDIANTE INFORME 002559-2026/SGIST-GITE, LA SGIST REMITIO LA SOLICITUD DE PRESTACION ADICIONAL PARA EL SERVICIO DE WEB HOSTING
17/06/2026: MEDIANTE MEMORANDO 001151-2026/GPP, LA GPP APROBO LA HABILITACION PRESUPUESTAL PARA LA PRESTACION ADICIONAL DEL SERVICIO DE WEB HOSTING SEP 2026
17/06/2026: MEDIANTE INFORME N° 002664-2026/SGPR-GPP, LA SGPR APROBO LA HABILITACION PRESUPUESTAL PARA LA PRESTACION ADICIONAL DEL SERVICIO DE WEB HOSTING SEP 2026</t>
  </si>
  <si>
    <t>hasta el 15/07/2026</t>
  </si>
  <si>
    <t>SE REALIZO EL PAGO AL PROVEEDOR CON FECHA AL 14/07/2026</t>
  </si>
  <si>
    <t>30/06/2026: SE REALIZO EL PAGO AL PROVEEDOR CON FECHA AL 30/06/2026
23/06/2026: tramite de pago de la orden pendiente a la fecha 23/06/226</t>
  </si>
  <si>
    <t>2- orden de servicio n° 2125
1. RESOLUCION GERENCIAL N° 000226-2026-GAD/ONPE</t>
  </si>
  <si>
    <t>2. orden de servicio n° 2129
1. RESOLUCION GERENCIAL N° 000235-2026-GAD/ONPE</t>
  </si>
  <si>
    <t>10/07/2026: RESOLUCION GERENCIAL 000291-2026/GAD, SE REALIZO LA REDUCCION DEL CONTRATO 217-2025, POR EL IMPORTE DE S/ 712 235
• RESOLUCION GERENCIAL N° 0239-2026-GAD/ONPE -aprobar la prestación adicional solicitada por el monto de S/ 63’456,744.00, equivalente al 43.97% del monto del contrato origina
05/06/2026: JAPROG ELABORO LA ORDEN DE SERVICIO N° 02136-2026 CON FECHA 05/06/2026 
05/06/2026: SEGUNDA ADENDA AL CONTRATO N° 0217-2025-ONPE
18-05-2026 INFORME COMPLEMENTARIO A LA SOLICITUD DE PRESTACIÓN ADICIONAL - SEGUNDA ELECCIÓN PRESIDENCIAL 2026 | “SERVICIO DE HABILITACIÓN, ACONDICIONAMIENTO Y LOGÍSTICA INFORMÁTICA (SHALI) - EG 2026” | CONTRATO N° 217-2025-ONPE/ INFORME 1996-2026-SGST
16/05/2026_ SE SOLICITO HABILITACION PRESUPUESTAL PARA EL SERVICIO DE SHALI POR UN MONTO ADICIONAL DE  S/ 42,456,744
13/05/2026: INFORME 001949-2026/SGIST-GITE PRECISIONES A LOS TÉRMINOS DE REFERENCIA RESPECTO A LA SOLICITUD DE PRESTACIÓN ADICIONAL - SEGUNDA ELECCIÓN PRESIDENCIAL 2026 | “SERVICIO DE HABILITACIÓN, ACONDICIONAMIENTO Y LOGÍSTICA INFORMÁTICA (SHALI) - EG 2026” | CONTRATO N° 217-2025-ONPE
13/05/2026: MEMORANDO 002387-2026/GITE, PRECISIONES A LOS TÉRMINOS DE REFERENCIA RESPECTO A LA SOLICITUD DE PRESTACIÓN ADICIONAL - SEGUNDA ELECCIÓN PRESIDENCIAL 2026 | “SERVICIO DE HABILITACIÓN, ACONDICIONAMIENTO Y LOGÍSTICA INFORMÁTICA (SHALI) - EG 2026” | CONTRATO N° 217-2025-ONPE
14/05/2026: MEMORANDO N° 002387-2026/GITE, GITE REMITIO PRECISIONES A LOS TÉRMINOS DE REFERENCIA RESPECTO A LA SOLICITUD DE PRESTACIÓN ADICIONAL - SEGUNDA ELECCIÓN PRESIDENCIAL 2026 | “SERVICIO DE HABILITACIÓN, ACONDICIONAMIENTO Y LOGÍSTICA INFORMÁTICA (SHALI) - EG 2026” | CONTRATO N° 217-2025-ONP
14/05/2026: Informe n° 001949-2026/SGIST-GITE, SGIST REMITIO PRECISIONES A LOS TÉRMINOS DE REFERENCIA RESPECTO A LA SOLICITUD DE PRESTACIÓN ADICIONAL - SEGUNDA ELECCIÓN PRESIDENCIAL 2026 | “SERVICIO DE HABILITACIÓN, ACONDICIONAMIENTO Y LOGÍSTICA INFORMÁTICA (SHALI) - EG 2026” | CONTRATO N° 217-2025-ONPE
13/05/2026: En atención a la solicitado por el CONTRATISTA y garantizar de esta manera el desarrollo óptimo y eficiente de la Segunda Elección Presidencial, se
recomienda aceptar la solicitud de reunión, estableciendo el lugar la Sede JR.
WASHINGTON NRO. 1894 (Lima-Lima-Lima) de la ONPE, el 14 de mayo de
2026 a las 10:00 a.m / MEMORANDO 2384-2026-GITEORDEN DE SERVICIO N° 288-2026
13/5/2026: La SGIST/GITE remite precisiones al TDR; periodo inicialmente propuesto del 09 de mayo al 30 de junio de 2026/MEMORANDO 2387/2026/GITE
contrato N° 217-2025-ONPE, GITE SOLICITO CONTINUIDAD DEL SERVICIO</t>
  </si>
  <si>
    <t>02755-2026/SGIST-GITE</t>
  </si>
  <si>
    <t>14/07/2026: SGIST REMITIO INFORME N° 002755-2026/SGIST-GITE, CONFORMIDAD DEL SERVICIO
plazo de ejecucion hasta el 30/06/2026</t>
  </si>
  <si>
    <t>COMPROMETIDO</t>
  </si>
  <si>
    <t>02811-2026/SGIST-GITE</t>
  </si>
  <si>
    <t>17/07/2026: INFORME N° 002811-2026/SGIST-GITE- INFORME PREVIO DE CONFORMIDAD DEL SERVICIO DE ALQUILER DE EQUIPO DE COMPUTO - EG 2026 (SEP) - ORDEN DE SERVICIO N 0001737-2026-ONPE
servicio culmina el 30/06/2026 en ejecucion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</si>
</sst>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quot;S/&quot;\ #,##0.00"/>
  </numFmts>
  <fonts count="28" x14ac:knownFonts="1">
    <font>
      <sz val="11"/>
      <color theme="1"/>
      <name val="Aptos Narrow"/>
      <family val="2"/>
      <scheme val="minor"/>
    </font>
    <font>
      <sz val="8"/>
      <color rgb="FF333F4F"/>
      <name val="Arial Narrow"/>
      <family val="2"/>
    </font>
    <font>
      <sz val="8"/>
      <name val="Arial Narrow"/>
      <family val="2"/>
    </font>
    <font>
      <sz val="11"/>
      <color rgb="FF000000"/>
      <name val="Calibri"/>
      <family val="2"/>
    </font>
    <font>
      <b/>
      <sz val="8"/>
      <name val="Arial Narrow"/>
      <family val="2"/>
    </font>
    <font>
      <b/>
      <sz val="11"/>
      <color theme="1"/>
      <name val="Aptos Narrow"/>
      <family val="2"/>
      <scheme val="minor"/>
    </font>
    <font>
      <b/>
      <sz val="7"/>
      <name val="Arial Narrow"/>
      <family val="2"/>
    </font>
    <font>
      <sz val="11"/>
      <name val="Aptos Narrow"/>
      <family val="2"/>
      <scheme val="minor"/>
    </font>
    <font>
      <sz val="11"/>
      <color theme="1"/>
      <name val="Aptos Narrow"/>
      <family val="2"/>
      <scheme val="minor"/>
    </font>
    <font>
      <b/>
      <sz val="9"/>
      <name val="Arial"/>
      <family val="2"/>
    </font>
    <font>
      <sz val="9"/>
      <color theme="1"/>
      <name val="Aptos Narrow"/>
      <family val="2"/>
      <scheme val="minor"/>
    </font>
    <font>
      <sz val="10"/>
      <name val="Arial"/>
      <family val="2"/>
    </font>
    <font>
      <sz val="11"/>
      <color rgb="FF000000"/>
      <name val="Calibri"/>
      <family val="2"/>
    </font>
    <font>
      <sz val="8"/>
      <name val="Arial Narrow"/>
      <family val="2"/>
    </font>
    <font>
      <sz val="8"/>
      <color rgb="FF333F4F"/>
      <name val="Arial Narrow"/>
      <family val="2"/>
    </font>
    <font>
      <b/>
      <sz val="10"/>
      <name val="Calibri"/>
      <family val="2"/>
    </font>
    <font>
      <sz val="9"/>
      <name val="Aptos Narrow"/>
      <family val="2"/>
      <scheme val="minor"/>
    </font>
    <font>
      <sz val="9"/>
      <color rgb="FF000000"/>
      <name val="Aptos Narrow"/>
      <family val="2"/>
      <scheme val="minor"/>
    </font>
    <font>
      <sz val="9"/>
      <color theme="1"/>
      <name val="Aptos Narrow"/>
      <family val="2"/>
      <scheme val="minor"/>
    </font>
    <font>
      <b/>
      <sz val="9"/>
      <name val="Aptos Narrow"/>
      <family val="2"/>
      <scheme val="minor"/>
    </font>
    <font>
      <sz val="8"/>
      <name val="Aptos Narrow"/>
      <family val="2"/>
      <scheme val="minor"/>
    </font>
    <font>
      <b/>
      <sz val="8"/>
      <name val="Aptos Narrow"/>
      <family val="2"/>
      <scheme val="minor"/>
    </font>
    <font>
      <sz val="8"/>
      <color theme="1"/>
      <name val="Aptos Narrow"/>
      <family val="2"/>
      <scheme val="minor"/>
    </font>
    <font>
      <b/>
      <sz val="9"/>
      <color rgb="FFFF0000"/>
      <name val="Aptos Narrow"/>
      <family val="2"/>
      <scheme val="minor"/>
    </font>
    <font>
      <b/>
      <sz val="9"/>
      <color rgb="FF000000"/>
      <name val="Aptos Narrow"/>
      <family val="2"/>
      <scheme val="minor"/>
    </font>
    <font>
      <sz val="9"/>
      <color rgb="FF000000"/>
      <name val="Aptos Narrow"/>
      <family val="2"/>
      <scheme val="minor"/>
    </font>
    <font>
      <sz val="8"/>
      <color rgb="FF0B1D2F"/>
      <name val="Arial Narrow"/>
      <family val="2"/>
    </font>
    <font>
      <sz val="11"/>
      <color rgb="FF000000"/>
      <name val="Aptos Narrow"/>
      <family val="2"/>
    </font>
  </fonts>
  <fills count="12">
    <fill>
      <patternFill patternType="none"/>
    </fill>
    <fill>
      <patternFill patternType="gray125"/>
    </fill>
    <fill>
      <patternFill patternType="solid">
        <fgColor theme="3" tint="0.749992370372631"/>
        <bgColor rgb="FF000000"/>
      </patternFill>
    </fill>
    <fill>
      <patternFill patternType="solid">
        <fgColor rgb="FFA9D08E"/>
        <bgColor rgb="FF000000"/>
      </patternFill>
    </fill>
    <fill>
      <patternFill patternType="solid">
        <fgColor rgb="FFDBDBDB"/>
        <bgColor rgb="FF000000"/>
      </patternFill>
    </fill>
    <fill>
      <patternFill patternType="solid">
        <fgColor rgb="FFD6DCE4"/>
        <bgColor rgb="FF000000"/>
      </patternFill>
    </fill>
    <fill>
      <patternFill patternType="solid">
        <fgColor rgb="FFE2EFDA"/>
        <bgColor rgb="FF000000"/>
      </patternFill>
    </fill>
    <fill>
      <patternFill patternType="solid">
        <fgColor rgb="FFEDEDED"/>
        <bgColor rgb="FF000000"/>
      </patternFill>
    </fill>
    <fill>
      <patternFill patternType="solid">
        <fgColor theme="3" tint="0.74999237037263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5" tint="0.59999389629810485"/>
        <bgColor indexed="64"/>
      </patternFill>
    </fill>
  </fills>
  <borders count="25">
    <border>
      <left/>
      <right/>
      <top/>
      <bottom/>
      <diagonal/>
    </border>
    <border>
      <left style="thick">
        <color rgb="FFFFFFFF"/>
      </left>
      <right style="thick">
        <color rgb="FFFFFFFF"/>
      </right>
      <top/>
      <bottom/>
      <diagonal/>
    </border>
    <border>
      <left style="dashed">
        <color rgb="FFD9D9D9"/>
      </left>
      <right style="dashed">
        <color rgb="FFD9D9D9"/>
      </right>
      <top style="dashed">
        <color rgb="FFD9D9D9"/>
      </top>
      <bottom style="dashed">
        <color rgb="FFD9D9D9"/>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style="dotted">
        <color indexed="64"/>
      </left>
      <right/>
      <top/>
      <bottom/>
      <diagonal/>
    </border>
    <border>
      <left/>
      <right style="dotted">
        <color indexed="64"/>
      </right>
      <top/>
      <bottom/>
      <diagonal/>
    </border>
    <border>
      <left/>
      <right style="dashed">
        <color rgb="FFD9D9D9"/>
      </right>
      <top/>
      <bottom/>
      <diagonal/>
    </border>
    <border>
      <left style="thin">
        <color indexed="64"/>
      </left>
      <right style="thin">
        <color indexed="64"/>
      </right>
      <top style="thin">
        <color indexed="64"/>
      </top>
      <bottom style="thin">
        <color indexed="64"/>
      </bottom>
      <diagonal/>
    </border>
    <border>
      <left style="thick">
        <color rgb="FFFFFFFF"/>
      </left>
      <right/>
      <top/>
      <bottom/>
      <diagonal/>
    </border>
    <border>
      <left style="dotted">
        <color rgb="FFD9D9D9"/>
      </left>
      <right/>
      <top/>
      <bottom/>
      <diagonal/>
    </border>
    <border>
      <left style="dashed">
        <color rgb="FFD9D9D9"/>
      </left>
      <right/>
      <top style="dashed">
        <color rgb="FFD9D9D9"/>
      </top>
      <bottom style="dashed">
        <color rgb="FFD9D9D9"/>
      </bottom>
      <diagonal/>
    </border>
    <border>
      <left/>
      <right style="thick">
        <color rgb="FFFFFFFF"/>
      </right>
      <top/>
      <bottom/>
      <diagonal/>
    </border>
    <border>
      <left/>
      <right style="dotted">
        <color rgb="FFD9D9D9"/>
      </right>
      <top/>
      <bottom/>
      <diagonal/>
    </border>
    <border>
      <left/>
      <right style="dashed">
        <color rgb="FFD9D9D9"/>
      </right>
      <top style="dashed">
        <color rgb="FFD9D9D9"/>
      </top>
      <bottom style="dashed">
        <color rgb="FFD9D9D9"/>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ashed">
        <color rgb="FFD9D9D9"/>
      </left>
      <right style="dashed">
        <color rgb="FFD9D9D9"/>
      </right>
      <top/>
      <bottom style="dashed">
        <color rgb="FFD9D9D9"/>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3">
    <xf numFmtId="0" fontId="0" fillId="0" borderId="0"/>
    <xf numFmtId="43" fontId="8" fillId="0" borderId="0" applyFont="0" applyFill="0" applyBorder="0" applyAlignment="0" applyProtection="0"/>
    <xf numFmtId="0" fontId="11" fillId="0" borderId="0"/>
  </cellStyleXfs>
  <cellXfs count="165">
    <xf numFmtId="0" fontId="0" fillId="0" borderId="0" xfId="0"/>
    <xf numFmtId="0" fontId="3" fillId="0" borderId="0" xfId="0" applyFont="1"/>
    <xf numFmtId="0" fontId="6" fillId="2" borderId="1" xfId="0" applyFont="1" applyFill="1" applyBorder="1" applyAlignment="1">
      <alignment horizontal="center" vertical="center"/>
    </xf>
    <xf numFmtId="1" fontId="0" fillId="0" borderId="0" xfId="0" applyNumberFormat="1"/>
    <xf numFmtId="0" fontId="7" fillId="0" borderId="0" xfId="0" applyFont="1"/>
    <xf numFmtId="0" fontId="6"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6"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6" fillId="2" borderId="0" xfId="0" applyFont="1" applyFill="1" applyAlignment="1">
      <alignment horizontal="center" vertical="center"/>
    </xf>
    <xf numFmtId="1" fontId="6" fillId="2" borderId="0" xfId="0" applyNumberFormat="1" applyFont="1" applyFill="1" applyAlignment="1">
      <alignment horizontal="center" vertical="center"/>
    </xf>
    <xf numFmtId="0" fontId="6" fillId="2" borderId="8"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8"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2" fillId="0" borderId="3" xfId="1"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2" fillId="0" borderId="4" xfId="0" applyFont="1" applyBorder="1" applyAlignment="1">
      <alignment wrapText="1"/>
    </xf>
    <xf numFmtId="0" fontId="1" fillId="0" borderId="17"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left" vertical="center" wrapText="1"/>
    </xf>
    <xf numFmtId="4" fontId="2" fillId="0" borderId="3" xfId="0" applyNumberFormat="1" applyFont="1" applyBorder="1" applyAlignment="1">
      <alignment horizontal="center" vertical="center"/>
    </xf>
    <xf numFmtId="4" fontId="2" fillId="0" borderId="4" xfId="0" applyNumberFormat="1" applyFont="1" applyBorder="1" applyAlignment="1">
      <alignment horizontal="right" vertical="center"/>
    </xf>
    <xf numFmtId="0" fontId="1" fillId="0" borderId="0" xfId="0" applyFont="1" applyAlignment="1">
      <alignment vertical="center"/>
    </xf>
    <xf numFmtId="3" fontId="1" fillId="0" borderId="0" xfId="0" applyNumberFormat="1" applyFont="1" applyAlignment="1">
      <alignment vertical="center"/>
    </xf>
    <xf numFmtId="0" fontId="2" fillId="0" borderId="3" xfId="0" applyFont="1" applyBorder="1" applyAlignment="1">
      <alignment vertical="center" wrapText="1"/>
    </xf>
    <xf numFmtId="4" fontId="2" fillId="0" borderId="3" xfId="0" applyNumberFormat="1" applyFont="1" applyBorder="1" applyAlignment="1">
      <alignment horizontal="right" vertical="center"/>
    </xf>
    <xf numFmtId="0" fontId="2" fillId="0" borderId="3" xfId="0" applyFont="1" applyBorder="1" applyAlignment="1">
      <alignment horizontal="left" vertical="center" wrapText="1"/>
    </xf>
    <xf numFmtId="0" fontId="2" fillId="0" borderId="3" xfId="0" applyFont="1" applyBorder="1" applyAlignment="1" applyProtection="1">
      <alignment horizontal="center" vertical="center"/>
      <protection locked="0"/>
    </xf>
    <xf numFmtId="3" fontId="1" fillId="0" borderId="2" xfId="0" applyNumberFormat="1" applyFont="1" applyBorder="1" applyAlignment="1">
      <alignment vertical="center"/>
    </xf>
    <xf numFmtId="0" fontId="4" fillId="0" borderId="4" xfId="0" applyFont="1" applyBorder="1" applyAlignment="1">
      <alignment wrapText="1"/>
    </xf>
    <xf numFmtId="0" fontId="4" fillId="0" borderId="3" xfId="0" applyFont="1" applyBorder="1" applyAlignment="1">
      <alignment horizontal="center" vertical="center"/>
    </xf>
    <xf numFmtId="0" fontId="4" fillId="0" borderId="3" xfId="0" applyFont="1" applyBorder="1" applyAlignment="1">
      <alignment vertical="center" wrapText="1"/>
    </xf>
    <xf numFmtId="4" fontId="4" fillId="0" borderId="3" xfId="0" applyNumberFormat="1" applyFont="1" applyBorder="1" applyAlignment="1">
      <alignment horizontal="center" vertical="center"/>
    </xf>
    <xf numFmtId="1" fontId="2" fillId="0" borderId="3" xfId="0" applyNumberFormat="1" applyFont="1" applyBorder="1" applyAlignment="1">
      <alignment horizontal="center" vertical="center"/>
    </xf>
    <xf numFmtId="0" fontId="2" fillId="0" borderId="3" xfId="0" applyFont="1" applyBorder="1" applyAlignment="1">
      <alignment horizontal="center" vertical="center" wrapText="1"/>
    </xf>
    <xf numFmtId="0" fontId="1" fillId="0" borderId="2" xfId="0" applyFont="1" applyBorder="1" applyAlignment="1">
      <alignment vertical="center"/>
    </xf>
    <xf numFmtId="0" fontId="1" fillId="0" borderId="8" xfId="0" applyFont="1" applyBorder="1" applyAlignment="1">
      <alignment horizontal="center" vertical="center"/>
    </xf>
    <xf numFmtId="0" fontId="1" fillId="0" borderId="14" xfId="0" applyFont="1" applyBorder="1" applyAlignment="1">
      <alignment horizontal="center" vertical="center"/>
    </xf>
    <xf numFmtId="0" fontId="1" fillId="0" borderId="11" xfId="0" applyFont="1" applyBorder="1" applyAlignment="1">
      <alignment horizontal="left" vertical="center"/>
    </xf>
    <xf numFmtId="0" fontId="2" fillId="0" borderId="8" xfId="0" applyFont="1" applyBorder="1" applyAlignment="1">
      <alignment horizontal="left" vertical="center" wrapText="1"/>
    </xf>
    <xf numFmtId="0" fontId="2" fillId="0" borderId="8"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8" xfId="0" applyFont="1" applyBorder="1" applyAlignment="1">
      <alignment vertical="center" wrapText="1"/>
    </xf>
    <xf numFmtId="0" fontId="2" fillId="0" borderId="8" xfId="0" applyFont="1" applyBorder="1" applyAlignment="1">
      <alignment horizontal="center" vertical="center"/>
    </xf>
    <xf numFmtId="3" fontId="1" fillId="0" borderId="8" xfId="0" applyNumberFormat="1" applyFont="1" applyBorder="1" applyAlignment="1">
      <alignment vertical="center"/>
    </xf>
    <xf numFmtId="0" fontId="9" fillId="3" borderId="18"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left" vertical="center" wrapText="1"/>
    </xf>
    <xf numFmtId="0" fontId="0" fillId="0" borderId="8" xfId="0" pivotButton="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left"/>
    </xf>
    <xf numFmtId="0" fontId="0" fillId="0" borderId="8" xfId="0" applyBorder="1" applyAlignment="1">
      <alignment horizontal="left" indent="1"/>
    </xf>
    <xf numFmtId="164" fontId="0" fillId="0" borderId="8" xfId="0" applyNumberFormat="1" applyBorder="1"/>
    <xf numFmtId="0" fontId="0" fillId="0" borderId="8" xfId="0" applyBorder="1" applyAlignment="1">
      <alignment horizontal="left" indent="2"/>
    </xf>
    <xf numFmtId="0" fontId="0" fillId="0" borderId="8" xfId="0" applyBorder="1" applyAlignment="1">
      <alignment horizontal="center"/>
    </xf>
    <xf numFmtId="14" fontId="0" fillId="0" borderId="0" xfId="0" applyNumberFormat="1"/>
    <xf numFmtId="0" fontId="0" fillId="8" borderId="0" xfId="0" applyFill="1"/>
    <xf numFmtId="1" fontId="0" fillId="8" borderId="0" xfId="0" applyNumberFormat="1" applyFill="1"/>
    <xf numFmtId="164" fontId="5" fillId="8" borderId="8" xfId="0" applyNumberFormat="1" applyFont="1" applyFill="1" applyBorder="1"/>
    <xf numFmtId="0" fontId="1" fillId="0" borderId="2" xfId="0" applyFont="1" applyBorder="1" applyAlignment="1">
      <alignment horizontal="center" vertical="center" wrapText="1"/>
    </xf>
    <xf numFmtId="0" fontId="2" fillId="0" borderId="15" xfId="0" applyFont="1" applyBorder="1" applyAlignment="1">
      <alignment horizontal="center" vertical="center"/>
    </xf>
    <xf numFmtId="4" fontId="2" fillId="0" borderId="16" xfId="0" applyNumberFormat="1" applyFont="1" applyBorder="1" applyAlignment="1">
      <alignment horizontal="center" vertical="center"/>
    </xf>
    <xf numFmtId="0" fontId="12" fillId="0" borderId="0" xfId="0" applyFont="1"/>
    <xf numFmtId="0" fontId="14" fillId="0" borderId="2" xfId="0" applyFont="1" applyBorder="1" applyAlignment="1">
      <alignment horizontal="left" vertical="center"/>
    </xf>
    <xf numFmtId="0" fontId="14" fillId="0" borderId="0" xfId="0" applyFont="1" applyAlignment="1">
      <alignment horizontal="center" vertical="center"/>
    </xf>
    <xf numFmtId="0" fontId="13" fillId="0" borderId="3" xfId="0" applyFont="1" applyBorder="1" applyAlignment="1">
      <alignment horizontal="center" vertical="center"/>
    </xf>
    <xf numFmtId="0" fontId="14" fillId="0" borderId="2" xfId="0" applyFont="1" applyBorder="1" applyAlignment="1">
      <alignment horizontal="center" vertical="center"/>
    </xf>
    <xf numFmtId="4" fontId="0" fillId="0" borderId="0" xfId="0" applyNumberFormat="1"/>
    <xf numFmtId="0" fontId="0" fillId="0" borderId="0" xfId="0" applyAlignment="1">
      <alignment vertical="top" wrapText="1"/>
    </xf>
    <xf numFmtId="0" fontId="6" fillId="2" borderId="1" xfId="0" applyFont="1" applyFill="1" applyBorder="1" applyAlignment="1">
      <alignment horizontal="center" vertical="top" wrapText="1"/>
    </xf>
    <xf numFmtId="0" fontId="0" fillId="8" borderId="0" xfId="0" applyFill="1" applyAlignment="1">
      <alignment vertical="top" wrapText="1"/>
    </xf>
    <xf numFmtId="3" fontId="14" fillId="0" borderId="0" xfId="0" applyNumberFormat="1" applyFont="1" applyAlignment="1">
      <alignment vertical="center"/>
    </xf>
    <xf numFmtId="4" fontId="15" fillId="0" borderId="24" xfId="0" applyNumberFormat="1" applyFont="1" applyBorder="1" applyAlignment="1">
      <alignment vertical="center" wrapText="1"/>
    </xf>
    <xf numFmtId="0" fontId="2" fillId="0" borderId="3" xfId="1" applyNumberFormat="1" applyFont="1" applyFill="1" applyBorder="1" applyAlignment="1" applyProtection="1">
      <alignment horizontal="center" vertical="center" wrapText="1"/>
      <protection locked="0"/>
    </xf>
    <xf numFmtId="0" fontId="1" fillId="0" borderId="2" xfId="0" applyFont="1" applyBorder="1" applyAlignment="1">
      <alignment horizontal="left" vertical="center" wrapText="1"/>
    </xf>
    <xf numFmtId="0" fontId="13" fillId="0" borderId="4" xfId="0" applyFont="1" applyBorder="1" applyAlignment="1">
      <alignment wrapText="1"/>
    </xf>
    <xf numFmtId="0" fontId="19" fillId="4" borderId="18" xfId="0" applyFont="1" applyFill="1" applyBorder="1" applyAlignment="1">
      <alignment horizontal="center" vertical="center" wrapText="1"/>
    </xf>
    <xf numFmtId="0" fontId="19" fillId="5" borderId="18" xfId="0" applyFont="1" applyFill="1" applyBorder="1" applyAlignment="1">
      <alignment horizontal="center" vertical="center" wrapText="1"/>
    </xf>
    <xf numFmtId="0" fontId="19" fillId="5" borderId="18" xfId="0" applyFont="1" applyFill="1" applyBorder="1" applyAlignment="1">
      <alignment horizontal="center" vertical="top" wrapText="1"/>
    </xf>
    <xf numFmtId="0" fontId="19" fillId="6" borderId="18" xfId="0" applyFont="1" applyFill="1" applyBorder="1" applyAlignment="1">
      <alignment horizontal="center" vertical="center" wrapText="1"/>
    </xf>
    <xf numFmtId="0" fontId="20" fillId="11" borderId="18" xfId="0" applyFont="1" applyFill="1" applyBorder="1" applyAlignment="1" applyProtection="1">
      <alignment horizontal="center" vertical="center" wrapText="1"/>
      <protection locked="0"/>
    </xf>
    <xf numFmtId="43" fontId="21" fillId="11" borderId="18" xfId="1" applyFont="1" applyFill="1" applyBorder="1" applyAlignment="1" applyProtection="1">
      <alignment horizontal="center" vertical="center" wrapText="1"/>
      <protection locked="0"/>
    </xf>
    <xf numFmtId="0" fontId="20" fillId="0" borderId="0" xfId="0" applyFont="1" applyAlignment="1">
      <alignment wrapText="1"/>
    </xf>
    <xf numFmtId="0" fontId="20" fillId="0" borderId="0" xfId="0" applyFont="1"/>
    <xf numFmtId="0" fontId="22" fillId="0" borderId="0" xfId="0" applyFont="1"/>
    <xf numFmtId="0" fontId="22" fillId="8" borderId="0" xfId="0" applyFont="1" applyFill="1"/>
    <xf numFmtId="0" fontId="16" fillId="10" borderId="18" xfId="0" applyFont="1" applyFill="1" applyBorder="1" applyAlignment="1" applyProtection="1">
      <alignment horizontal="center" vertical="center" wrapText="1"/>
      <protection locked="0"/>
    </xf>
    <xf numFmtId="0" fontId="16" fillId="11" borderId="18" xfId="0" applyFont="1" applyFill="1" applyBorder="1" applyAlignment="1" applyProtection="1">
      <alignment horizontal="center" vertical="center" wrapText="1"/>
      <protection locked="0"/>
    </xf>
    <xf numFmtId="0" fontId="18" fillId="0" borderId="0" xfId="0" applyFont="1"/>
    <xf numFmtId="0" fontId="18" fillId="0" borderId="0" xfId="0" applyFont="1" applyAlignment="1">
      <alignment wrapText="1"/>
    </xf>
    <xf numFmtId="14" fontId="18" fillId="0" borderId="0" xfId="0" applyNumberFormat="1" applyFont="1" applyAlignment="1">
      <alignment wrapText="1"/>
    </xf>
    <xf numFmtId="3" fontId="18" fillId="0" borderId="0" xfId="0" applyNumberFormat="1" applyFont="1"/>
    <xf numFmtId="0" fontId="18" fillId="8" borderId="0" xfId="0" applyFont="1" applyFill="1"/>
    <xf numFmtId="0" fontId="18" fillId="8" borderId="0" xfId="0" applyFont="1" applyFill="1" applyAlignment="1">
      <alignment wrapText="1"/>
    </xf>
    <xf numFmtId="0" fontId="18" fillId="8" borderId="0" xfId="0" applyFont="1" applyFill="1" applyAlignment="1">
      <alignment vertical="top"/>
    </xf>
    <xf numFmtId="0" fontId="18" fillId="0" borderId="0" xfId="0" applyFont="1" applyAlignment="1">
      <alignment vertical="top"/>
    </xf>
    <xf numFmtId="2" fontId="19" fillId="6" borderId="18" xfId="0" applyNumberFormat="1" applyFont="1" applyFill="1" applyBorder="1" applyAlignment="1">
      <alignment horizontal="center" vertical="center" wrapText="1"/>
    </xf>
    <xf numFmtId="2" fontId="18" fillId="0" borderId="0" xfId="0" applyNumberFormat="1" applyFont="1"/>
    <xf numFmtId="0" fontId="18" fillId="0" borderId="0" xfId="0" applyFont="1" applyAlignment="1">
      <alignment horizontal="center"/>
    </xf>
    <xf numFmtId="0" fontId="18" fillId="8" borderId="0" xfId="0" applyFont="1" applyFill="1" applyAlignment="1">
      <alignment horizontal="center"/>
    </xf>
    <xf numFmtId="0" fontId="18" fillId="0" borderId="0" xfId="0" applyFont="1" applyAlignment="1">
      <alignment horizontal="center" wrapText="1"/>
    </xf>
    <xf numFmtId="0" fontId="10" fillId="0" borderId="0" xfId="0" applyFont="1" applyAlignment="1">
      <alignment wrapText="1"/>
    </xf>
    <xf numFmtId="4" fontId="15" fillId="0" borderId="23" xfId="0" applyNumberFormat="1" applyFont="1" applyBorder="1" applyAlignment="1">
      <alignment vertical="center" wrapText="1"/>
    </xf>
    <xf numFmtId="0" fontId="0" fillId="0" borderId="0" xfId="0" applyAlignment="1">
      <alignment horizontal="center" vertical="center"/>
    </xf>
    <xf numFmtId="0" fontId="4" fillId="2" borderId="1" xfId="0" applyFont="1" applyFill="1" applyBorder="1" applyAlignment="1">
      <alignment horizontal="center" vertical="center"/>
    </xf>
    <xf numFmtId="0" fontId="0" fillId="8" borderId="0" xfId="0" applyFill="1" applyAlignment="1">
      <alignment horizontal="center" vertical="center"/>
    </xf>
    <xf numFmtId="14" fontId="0" fillId="0" borderId="0" xfId="0" applyNumberFormat="1" applyAlignment="1">
      <alignment wrapText="1"/>
    </xf>
    <xf numFmtId="0" fontId="6" fillId="9" borderId="21" xfId="0" applyFont="1" applyFill="1" applyBorder="1" applyAlignment="1">
      <alignment horizontal="center" vertical="center" wrapText="1"/>
    </xf>
    <xf numFmtId="0" fontId="6" fillId="2" borderId="19" xfId="0" applyFont="1" applyFill="1" applyBorder="1" applyAlignment="1">
      <alignment horizontal="center" vertical="center" wrapText="1"/>
    </xf>
    <xf numFmtId="164" fontId="5" fillId="8" borderId="19" xfId="0" applyNumberFormat="1" applyFont="1" applyFill="1" applyBorder="1"/>
    <xf numFmtId="0" fontId="2" fillId="0" borderId="16" xfId="1" applyNumberFormat="1" applyFont="1" applyFill="1" applyBorder="1" applyAlignment="1" applyProtection="1">
      <alignment horizontal="center" vertical="center"/>
      <protection locked="0"/>
    </xf>
    <xf numFmtId="164" fontId="5" fillId="9" borderId="22" xfId="0" applyNumberFormat="1" applyFont="1" applyFill="1" applyBorder="1"/>
    <xf numFmtId="164" fontId="5" fillId="0" borderId="21" xfId="0" applyNumberFormat="1" applyFont="1" applyBorder="1"/>
    <xf numFmtId="164" fontId="5" fillId="0" borderId="22" xfId="0" applyNumberFormat="1" applyFont="1" applyBorder="1"/>
    <xf numFmtId="0" fontId="25" fillId="7" borderId="8" xfId="0" applyFont="1" applyFill="1" applyBorder="1" applyAlignment="1">
      <alignment horizontal="center" vertical="center"/>
    </xf>
    <xf numFmtId="0" fontId="17" fillId="7" borderId="8" xfId="0" applyFont="1" applyFill="1" applyBorder="1" applyAlignment="1">
      <alignment horizontal="center" vertical="center" wrapText="1"/>
    </xf>
    <xf numFmtId="0" fontId="24" fillId="7" borderId="8" xfId="0" applyFont="1" applyFill="1" applyBorder="1" applyAlignment="1">
      <alignment horizontal="center" wrapText="1"/>
    </xf>
    <xf numFmtId="0" fontId="24" fillId="7" borderId="8" xfId="0" applyFont="1" applyFill="1" applyBorder="1"/>
    <xf numFmtId="0" fontId="17" fillId="0" borderId="8" xfId="0" applyFont="1" applyBorder="1" applyAlignment="1">
      <alignment horizontal="center" wrapText="1"/>
    </xf>
    <xf numFmtId="0" fontId="17" fillId="0" borderId="8" xfId="0" applyFont="1" applyBorder="1" applyAlignment="1">
      <alignment wrapText="1"/>
    </xf>
    <xf numFmtId="0" fontId="3" fillId="0" borderId="0" xfId="0" applyFont="1" applyAlignment="1">
      <alignment horizontal="center" vertical="center"/>
    </xf>
    <xf numFmtId="0" fontId="18" fillId="0" borderId="0" xfId="0" applyFont="1" applyAlignment="1">
      <alignment vertical="top" wrapText="1"/>
    </xf>
    <xf numFmtId="0" fontId="17" fillId="0" borderId="20" xfId="0" applyFont="1" applyBorder="1" applyAlignment="1">
      <alignment horizontal="center" wrapText="1"/>
    </xf>
    <xf numFmtId="0" fontId="17" fillId="0" borderId="20" xfId="0" applyFont="1" applyBorder="1" applyAlignment="1">
      <alignment wrapText="1"/>
    </xf>
    <xf numFmtId="0" fontId="26" fillId="0" borderId="2" xfId="0" applyFont="1" applyBorder="1"/>
    <xf numFmtId="0" fontId="25" fillId="0" borderId="20" xfId="0" applyFont="1" applyBorder="1" applyAlignment="1">
      <alignment horizontal="center" wrapText="1"/>
    </xf>
    <xf numFmtId="14" fontId="18" fillId="0" borderId="0" xfId="0" applyNumberFormat="1" applyFont="1"/>
    <xf numFmtId="0" fontId="18" fillId="0" borderId="0" xfId="0" applyFont="1" applyAlignment="1">
      <alignment horizontal="center" vertical="center"/>
    </xf>
    <xf numFmtId="4" fontId="2" fillId="0" borderId="4" xfId="0" applyNumberFormat="1" applyFont="1" applyBorder="1" applyAlignment="1">
      <alignment horizontal="center" vertical="center"/>
    </xf>
    <xf numFmtId="0" fontId="17" fillId="0" borderId="20" xfId="0" applyFont="1" applyBorder="1" applyAlignment="1">
      <alignment horizontal="center" vertical="center" wrapText="1"/>
    </xf>
    <xf numFmtId="0" fontId="10" fillId="0" borderId="0" xfId="0" applyFont="1" applyAlignment="1">
      <alignment vertical="top" wrapText="1"/>
    </xf>
    <xf numFmtId="0" fontId="17" fillId="0" borderId="21" xfId="0" applyFont="1" applyBorder="1" applyAlignment="1">
      <alignment wrapText="1"/>
    </xf>
    <xf numFmtId="0" fontId="25" fillId="0" borderId="20" xfId="0" applyFont="1" applyBorder="1" applyAlignment="1">
      <alignment wrapText="1"/>
    </xf>
    <xf numFmtId="14" fontId="10" fillId="0" borderId="0" xfId="0" applyNumberFormat="1" applyFont="1" applyAlignment="1">
      <alignment wrapText="1"/>
    </xf>
    <xf numFmtId="0" fontId="17" fillId="0" borderId="20" xfId="0" applyFont="1" applyBorder="1" applyAlignment="1">
      <alignment vertical="top" wrapText="1"/>
    </xf>
    <xf numFmtId="0" fontId="2" fillId="0" borderId="3" xfId="0" applyFont="1" applyBorder="1" applyAlignment="1">
      <alignment vertical="top" wrapText="1"/>
    </xf>
    <xf numFmtId="0" fontId="2" fillId="0" borderId="16" xfId="0" applyFont="1" applyBorder="1" applyAlignment="1" applyProtection="1">
      <alignment horizontal="center" vertical="center"/>
      <protection locked="0"/>
    </xf>
    <xf numFmtId="0" fontId="1" fillId="0" borderId="0" xfId="0" applyFont="1" applyAlignment="1">
      <alignment horizontal="center" vertical="center" wrapText="1"/>
    </xf>
    <xf numFmtId="4" fontId="2" fillId="0" borderId="3" xfId="0" applyNumberFormat="1" applyFont="1" applyBorder="1" applyAlignment="1">
      <alignment horizontal="center" vertical="center" wrapText="1"/>
    </xf>
    <xf numFmtId="3" fontId="1" fillId="0" borderId="2" xfId="0" applyNumberFormat="1" applyFont="1" applyBorder="1" applyAlignment="1">
      <alignment vertical="center" wrapText="1"/>
    </xf>
    <xf numFmtId="3" fontId="1" fillId="0" borderId="0" xfId="0" applyNumberFormat="1" applyFont="1" applyAlignment="1">
      <alignment vertical="center" wrapText="1"/>
    </xf>
    <xf numFmtId="0" fontId="27" fillId="0" borderId="0" xfId="0" applyFont="1"/>
    <xf numFmtId="0" fontId="3" fillId="0" borderId="0" xfId="0" applyFont="1" applyAlignment="1">
      <alignment wrapText="1"/>
    </xf>
    <xf numFmtId="4" fontId="13" fillId="0" borderId="4" xfId="0" applyNumberFormat="1" applyFont="1" applyBorder="1" applyAlignment="1">
      <alignment horizontal="right" vertical="center"/>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4" fontId="2" fillId="0" borderId="0" xfId="0" applyNumberFormat="1" applyFont="1" applyAlignment="1">
      <alignment horizontal="center" vertical="center"/>
    </xf>
    <xf numFmtId="0" fontId="13" fillId="0" borderId="0" xfId="0" applyFont="1" applyAlignment="1">
      <alignment horizontal="center" vertical="center"/>
    </xf>
    <xf numFmtId="0" fontId="17" fillId="0" borderId="0" xfId="0" applyFont="1" applyAlignment="1">
      <alignment wrapText="1"/>
    </xf>
    <xf numFmtId="0" fontId="3" fillId="0" borderId="5" xfId="0" applyFont="1" applyBorder="1"/>
    <xf numFmtId="0" fontId="3" fillId="0" borderId="0" xfId="0" applyFont="1"/>
    <xf numFmtId="0" fontId="3" fillId="0" borderId="6" xfId="0" applyFont="1" applyBorder="1"/>
    <xf numFmtId="0" fontId="3" fillId="0" borderId="7" xfId="0" applyFont="1" applyBorder="1"/>
    <xf numFmtId="0" fontId="17" fillId="7" borderId="8" xfId="0" applyFont="1" applyFill="1" applyBorder="1" applyAlignment="1">
      <alignment horizontal="center" vertical="center"/>
    </xf>
    <xf numFmtId="0" fontId="3" fillId="0" borderId="5" xfId="0" applyFont="1" applyBorder="1" applyAlignment="1">
      <alignment wrapText="1"/>
    </xf>
    <xf numFmtId="0" fontId="3" fillId="0" borderId="0" xfId="0" applyFont="1" applyAlignment="1">
      <alignment wrapText="1"/>
    </xf>
    <xf numFmtId="0" fontId="3" fillId="0" borderId="6" xfId="0" applyFont="1" applyBorder="1" applyAlignment="1">
      <alignment wrapText="1"/>
    </xf>
    <xf numFmtId="0" fontId="3" fillId="0" borderId="7" xfId="0" applyFont="1" applyBorder="1" applyAlignment="1">
      <alignment wrapText="1"/>
    </xf>
  </cellXfs>
  <cellStyles count="3">
    <cellStyle name="Millares" xfId="1" builtinId="3"/>
    <cellStyle name="Normal" xfId="0" builtinId="0"/>
    <cellStyle name="Normal 2" xfId="2" xr:uid="{8F52A644-95D0-42F2-86F5-A666D714F817}"/>
  </cellStyles>
  <dxfs count="62">
    <dxf>
      <alignment horizontal="center"/>
    </dxf>
    <dxf>
      <alignment horizont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4" formatCode="&quot;S/&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G. Saavedra Lopez" refreshedDate="46136.507016087962" createdVersion="8" refreshedVersion="8" minRefreshableVersion="3" recordCount="390" xr:uid="{599C5662-6BAE-483C-AFCC-95DF563E2145}">
  <cacheSource type="worksheet">
    <worksheetSource ref="A1:BB391" sheet="BD APROBADA (2)"/>
  </cacheSource>
  <cacheFields count="54">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TIPO DE PROCESO" numFmtId="0">
      <sharedItems/>
    </cacheField>
    <cacheField name="PROCESO NIVEL 1" numFmtId="0">
      <sharedItems/>
    </cacheField>
    <cacheField name="CATEGORÍA PRESUPUESTAL" numFmtId="0">
      <sharedItems containsSemiMixedTypes="0" containsString="0" containsNumber="1" containsInteger="1" minValue="125" maxValue="125"/>
    </cacheField>
    <cacheField name="PRODUCTO PRESUPUESTAL" numFmtId="0">
      <sharedItems containsSemiMixedTypes="0" containsString="0" containsNumber="1" containsInteger="1" minValue="3000001" maxValue="3000654"/>
    </cacheField>
    <cacheField name="ACTIVIDAD  PRESUPUESTAL" numFmtId="0">
      <sharedItems containsSemiMixedTypes="0" containsString="0" containsNumber="1" containsInteger="1" minValue="5000276" maxValue="5005023"/>
    </cacheField>
    <cacheField name="FUNCIÓN" numFmtId="0">
      <sharedItems containsSemiMixedTypes="0" containsString="0" containsNumber="1" containsInteger="1" minValue="3" maxValue="3"/>
    </cacheField>
    <cacheField name="DIVISIÓN FUNCIONAL " numFmtId="0">
      <sharedItems containsSemiMixedTypes="0" containsString="0" containsNumber="1" containsInteger="1" minValue="12" maxValue="12"/>
    </cacheField>
    <cacheField name="GRUPO FUNCIONAL" numFmtId="0">
      <sharedItems containsSemiMixedTypes="0" containsString="0" containsNumber="1" containsInteger="1" minValue="24" maxValue="24"/>
    </cacheField>
    <cacheField name="FINALIDAD" numFmtId="0">
      <sharedItems containsSemiMixedTypes="0" containsString="0" containsNumber="1" containsInteger="1" minValue="47173" maxValue="135560"/>
    </cacheField>
    <cacheField name="ID" numFmtId="0">
      <sharedItems/>
    </cacheField>
    <cacheField name="ACTIVIDAD_x000a_ OPERATIVA" numFmtId="0">
      <sharedItems count="5">
        <s v=" GESTIÓN DE LA INFRAESTRUCTURA TECNOLÓGICA Y BASE DE DATOS "/>
        <s v="GESTIÓN DE LA SEGURIDAD INFORMÁTICA Y CONTINUIDAD DE LOS SERVICIOS TECNOLÓGICOS"/>
        <s v="DISEÑO, DESARROLLO Y DESPLIEGUE SOLUCIONES TECNOLOGICAS"/>
        <s v="MANTENIMIENTO Y SOPORTE A LAS SOLUCIONES TECNOLÓGICAS"/>
        <s v="GESTION DOCUMENTAL"/>
      </sharedItems>
    </cacheField>
    <cacheField name="Meta_x000a_presupuestal" numFmtId="0">
      <sharedItems containsSemiMixedTypes="0" containsString="0" containsNumber="1" containsInteger="1" minValue="92" maxValue="97" count="5">
        <n v="95"/>
        <n v="96"/>
        <n v="94"/>
        <n v="97"/>
        <n v="92"/>
      </sharedItems>
    </cacheField>
    <cacheField name="Ubigeo" numFmtId="0">
      <sharedItems containsNonDate="0" containsString="0" containsBlank="1"/>
    </cacheField>
    <cacheField name="Órgano " numFmtId="0">
      <sharedItems/>
    </cacheField>
    <cacheField name="Tipo de PPTO" numFmtId="0">
      <sharedItems/>
    </cacheField>
    <cacheField name="GG" numFmtId="0">
      <sharedItems/>
    </cacheField>
    <cacheField name="Clasificador" numFmtId="0">
      <sharedItems/>
    </cacheField>
    <cacheField name="CODIGO SIGA" numFmtId="0">
      <sharedItems containsString="0" containsBlank="1" containsNumber="1" containsInteger="1" minValue="443600250053" maxValue="942500010040"/>
    </cacheField>
    <cacheField name="Descripción del _x000a_Bien/Servicio" numFmtId="0">
      <sharedItems/>
    </cacheField>
    <cacheField name="Unidad medida" numFmtId="0">
      <sharedItems count="3">
        <s v="SERVICIO"/>
        <s v="BIEN"/>
        <s v="LOCADOR"/>
      </sharedItems>
    </cacheField>
    <cacheField name="Cantidad de Personas o Veces" numFmtId="0">
      <sharedItems containsString="0" containsBlank="1" containsNumber="1" containsInteger="1" minValue="1" maxValue="75"/>
    </cacheField>
    <cacheField name="Precio Unitario" numFmtId="0">
      <sharedItems containsSemiMixedTypes="0" containsString="0" containsNumber="1" minValue="0.7" maxValue="20000000"/>
    </cacheField>
    <cacheField name="Enero" numFmtId="0">
      <sharedItems containsNonDate="0" containsString="0" containsBlank="1"/>
    </cacheField>
    <cacheField name="Febrero" numFmtId="0">
      <sharedItems containsNonDate="0" containsString="0" containsBlank="1"/>
    </cacheField>
    <cacheField name="Marzo" numFmtId="0">
      <sharedItems containsNonDate="0" containsString="0" containsBlank="1"/>
    </cacheField>
    <cacheField name="Abril" numFmtId="0">
      <sharedItems containsNonDate="0" containsString="0" containsBlank="1"/>
    </cacheField>
    <cacheField name="Mayo" numFmtId="0">
      <sharedItems containsString="0" containsBlank="1" containsNumber="1" containsInteger="1" minValue="1" maxValue="30"/>
    </cacheField>
    <cacheField name="Junio" numFmtId="0">
      <sharedItems containsBlank="1" containsMixedTypes="1" containsNumber="1" minValue="0.5" maxValue="100"/>
    </cacheField>
    <cacheField name="Julio" numFmtId="0">
      <sharedItems containsString="0" containsBlank="1" containsNumber="1" minValue="0.5" maxValue="1"/>
    </cacheField>
    <cacheField name="Agosto" numFmtId="0">
      <sharedItems containsNonDate="0" containsString="0" containsBlank="1"/>
    </cacheField>
    <cacheField name="Setiembre" numFmtId="0">
      <sharedItems containsNonDate="0" containsString="0" containsBlank="1"/>
    </cacheField>
    <cacheField name="Octubre" numFmtId="0">
      <sharedItems containsNonDate="0" containsString="0" containsBlank="1"/>
    </cacheField>
    <cacheField name="Noviembre" numFmtId="0">
      <sharedItems containsNonDate="0" containsString="0" containsBlank="1"/>
    </cacheField>
    <cacheField name="Diciembre" numFmtId="0">
      <sharedItems containsNonDate="0" containsString="0" containsBlank="1"/>
    </cacheField>
    <cacheField name="Total Costo_x000a_ de B.S" numFmtId="0">
      <sharedItems containsSemiMixedTypes="0" containsString="0" containsNumber="1" containsInteger="1" minValue="14" maxValue="20000000"/>
    </cacheField>
    <cacheField name="ENERO2" numFmtId="0">
      <sharedItems/>
    </cacheField>
    <cacheField name="FEBRERO2" numFmtId="0">
      <sharedItems/>
    </cacheField>
    <cacheField name="MARZO2" numFmtId="0">
      <sharedItems/>
    </cacheField>
    <cacheField name="ABRIL2" numFmtId="0">
      <sharedItems/>
    </cacheField>
    <cacheField name="MAYO2" numFmtId="0">
      <sharedItems containsMixedTypes="1" containsNumber="1" containsInteger="1" minValue="2500" maxValue="120000"/>
    </cacheField>
    <cacheField name="JUNIO2" numFmtId="0">
      <sharedItems containsMixedTypes="1" containsNumber="1" containsInteger="1" minValue="14" maxValue="20000000"/>
    </cacheField>
    <cacheField name="JULIO2" numFmtId="0">
      <sharedItems containsMixedTypes="1" containsNumber="1" containsInteger="1" minValue="10000" maxValue="125000"/>
    </cacheField>
    <cacheField name="AGOSTO2" numFmtId="0">
      <sharedItems/>
    </cacheField>
    <cacheField name="SETIEMBRE2" numFmtId="0">
      <sharedItems/>
    </cacheField>
    <cacheField name="OCTUBRE2" numFmtId="0">
      <sharedItems/>
    </cacheField>
    <cacheField name="NOVIEMBRE2" numFmtId="0">
      <sharedItems/>
    </cacheField>
    <cacheField name="DICIEMBRE2" numFmtId="0">
      <sharedItems/>
    </cacheField>
    <cacheField name="TOTAL" numFmtId="0">
      <sharedItems containsSemiMixedTypes="0" containsString="0" containsNumber="1" containsInteger="1" minValue="14" maxValue="20000000"/>
    </cacheField>
    <cacheField name="GITE/SG" numFmtId="0">
      <sharedItems count="4">
        <s v="SGIST"/>
        <s v="SGGDI"/>
        <s v="SGSI"/>
        <s v="GITE"/>
      </sharedItems>
    </cacheField>
    <cacheField name="PRIORIDAD" numFmtId="0">
      <sharedItems/>
    </cacheField>
    <cacheField name="APLICATIVOS" numFmtId="0">
      <sharedItems containsNonDate="0" containsString="0" containsBlank="1"/>
    </cacheField>
    <cacheField name="DENOMINACION SIG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2.3.99"/>
    <m/>
    <s v="SERVICIO DE ENLACE DE TELECOMUNICACIONES"/>
    <x v="0"/>
    <m/>
    <n v="6000000"/>
    <m/>
    <m/>
    <m/>
    <m/>
    <m/>
    <n v="1"/>
    <m/>
    <m/>
    <m/>
    <m/>
    <m/>
    <m/>
    <n v="6000000"/>
    <s v=" -   "/>
    <s v=" -   "/>
    <s v=" -   "/>
    <s v=" -   "/>
    <s v=" -   "/>
    <n v="6000000"/>
    <s v=" -   "/>
    <s v=" -   "/>
    <s v=" -   "/>
    <s v=" -   "/>
    <s v=" -   "/>
    <s v=" -   "/>
    <n v="6000000"/>
    <x v="0"/>
    <s v="P1"/>
    <m/>
    <s v="SERVICIO DE ENLACE DE TELECOMUNICACIONES"/>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7.13.98"/>
    <m/>
    <s v="SERVICIO DE HABILITACION, ACONDICIONAMIENTO Y LOGISTICA INFORMATICA"/>
    <x v="0"/>
    <m/>
    <n v="20000000"/>
    <m/>
    <m/>
    <m/>
    <m/>
    <m/>
    <n v="1"/>
    <m/>
    <m/>
    <m/>
    <m/>
    <m/>
    <m/>
    <n v="20000000"/>
    <s v=" -   "/>
    <s v=" -   "/>
    <s v=" -   "/>
    <s v=" -   "/>
    <s v=" -   "/>
    <n v="20000000"/>
    <s v=" -   "/>
    <s v=" -   "/>
    <s v=" -   "/>
    <s v=" -   "/>
    <s v=" -   "/>
    <s v=" -   "/>
    <n v="20000000"/>
    <x v="0"/>
    <s v="P1"/>
    <m/>
    <s v="SERVICIO DE HABILITACION, ACONDICIONAMIENTO Y LOGISTICA INFORMATICA"/>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2.3.99"/>
    <m/>
    <s v="SERVICIO DE TRANSMISION DE DATOS"/>
    <x v="0"/>
    <m/>
    <n v="1169000"/>
    <m/>
    <m/>
    <m/>
    <m/>
    <m/>
    <n v="1"/>
    <m/>
    <m/>
    <m/>
    <m/>
    <m/>
    <m/>
    <n v="1169000"/>
    <s v=" -   "/>
    <s v=" -   "/>
    <s v=" -   "/>
    <s v=" -   "/>
    <s v=" -   "/>
    <n v="1169000"/>
    <s v=" -   "/>
    <s v=" -   "/>
    <s v=" -   "/>
    <s v=" -   "/>
    <s v=" -   "/>
    <s v=" -   "/>
    <n v="1169000"/>
    <x v="0"/>
    <s v="P1"/>
    <m/>
    <s v="SERVICIO DE TRANSMISION DE DATOS"/>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2.3.99"/>
    <m/>
    <s v="SERVICIO DE WEB HOSTING"/>
    <x v="0"/>
    <m/>
    <n v="2500000"/>
    <m/>
    <m/>
    <m/>
    <m/>
    <m/>
    <n v="1"/>
    <m/>
    <m/>
    <m/>
    <m/>
    <m/>
    <m/>
    <n v="2500000"/>
    <s v=" -   "/>
    <s v=" -   "/>
    <s v=" -   "/>
    <s v=" -   "/>
    <s v=" -   "/>
    <n v="2500000"/>
    <s v=" -   "/>
    <s v=" -   "/>
    <s v=" -   "/>
    <s v=" -   "/>
    <s v=" -   "/>
    <s v=" -   "/>
    <n v="2500000"/>
    <x v="0"/>
    <s v="P1"/>
    <m/>
    <s v="SERVICIO DE WEB HOSTING"/>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7.4.99"/>
    <m/>
    <s v="SERVICIO DE SOPORTE INFORMATICO"/>
    <x v="0"/>
    <m/>
    <n v="40000"/>
    <m/>
    <m/>
    <m/>
    <m/>
    <m/>
    <n v="1"/>
    <m/>
    <m/>
    <m/>
    <m/>
    <m/>
    <m/>
    <n v="40000"/>
    <s v=" -   "/>
    <s v=" -   "/>
    <s v=" -   "/>
    <s v=" -   "/>
    <s v=" -   "/>
    <n v="40000"/>
    <s v=" -   "/>
    <s v=" -   "/>
    <s v=" -   "/>
    <s v=" -   "/>
    <s v=" -   "/>
    <s v=" -   "/>
    <n v="40000"/>
    <x v="0"/>
    <s v="P1"/>
    <m/>
    <s v="SERVICIO DE SOPORTE INFORMATICO"/>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7.4.99"/>
    <m/>
    <s v="SERVICIO DE HACKEO ÉTICO - ETICAL HACKING"/>
    <x v="0"/>
    <m/>
    <n v="45000"/>
    <m/>
    <m/>
    <m/>
    <m/>
    <m/>
    <n v="1"/>
    <m/>
    <m/>
    <m/>
    <m/>
    <m/>
    <m/>
    <n v="45000"/>
    <s v=" -   "/>
    <s v=" -   "/>
    <s v=" -   "/>
    <s v=" -   "/>
    <s v=" -   "/>
    <n v="45000"/>
    <s v=" -   "/>
    <s v=" -   "/>
    <s v=" -   "/>
    <s v=" -   "/>
    <s v=" -   "/>
    <s v=" -   "/>
    <n v="45000"/>
    <x v="0"/>
    <s v="P1"/>
    <m/>
    <s v="SERVICIO DE HACKEO ÉTICO - ETICAL HACKING"/>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5.1.99"/>
    <n v="942500010040"/>
    <s v="RENOVACION DE LICENCIA  SOFTWARE ANTIVIRUS"/>
    <x v="0"/>
    <m/>
    <n v="70000"/>
    <m/>
    <m/>
    <m/>
    <m/>
    <m/>
    <n v="1"/>
    <m/>
    <m/>
    <m/>
    <m/>
    <m/>
    <m/>
    <n v="70000"/>
    <s v=" -   "/>
    <s v=" -   "/>
    <s v=" -   "/>
    <s v=" -   "/>
    <s v=" -   "/>
    <n v="70000"/>
    <s v=" -   "/>
    <s v=" -   "/>
    <s v=" -   "/>
    <s v=" -   "/>
    <s v=" -   "/>
    <s v=" -   "/>
    <n v="70000"/>
    <x v="0"/>
    <s v="P1"/>
    <m/>
    <s v="RENOVACION DE LICENCIA DE SOFTWARE ANTIVIRUS"/>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7.4.99"/>
    <m/>
    <s v="SERVICIO DE CORREO ELECTRONICO EN LA NUBE"/>
    <x v="0"/>
    <m/>
    <n v="420000"/>
    <m/>
    <m/>
    <m/>
    <m/>
    <m/>
    <n v="1"/>
    <m/>
    <m/>
    <m/>
    <m/>
    <m/>
    <m/>
    <n v="420000"/>
    <s v=" -   "/>
    <s v=" -   "/>
    <s v=" -   "/>
    <s v=" -   "/>
    <s v=" -   "/>
    <n v="420000"/>
    <s v=" -   "/>
    <s v=" -   "/>
    <s v=" -   "/>
    <s v=" -   "/>
    <s v=" -   "/>
    <s v=" -   "/>
    <n v="420000"/>
    <x v="0"/>
    <s v="P1"/>
    <m/>
    <s v="SERVICIO DE CORREO ELECTRONICO EN LA NUBE"/>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5.1.4"/>
    <n v="940100030022"/>
    <s v="ALQUILER DE SERVIDOR"/>
    <x v="0"/>
    <m/>
    <n v="40000"/>
    <m/>
    <m/>
    <m/>
    <m/>
    <m/>
    <n v="1"/>
    <n v="1"/>
    <m/>
    <m/>
    <m/>
    <m/>
    <m/>
    <n v="80000"/>
    <s v=" -   "/>
    <s v=" -   "/>
    <s v=" -   "/>
    <s v=" -   "/>
    <s v=" -   "/>
    <n v="40000"/>
    <n v="40000"/>
    <s v=" -   "/>
    <s v=" -   "/>
    <s v=" -   "/>
    <s v=" -   "/>
    <s v=" -   "/>
    <n v="80000"/>
    <x v="0"/>
    <s v="P1"/>
    <m/>
    <s v="ALQUILER DE SERVIDOR"/>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5.1.4"/>
    <n v="940100030047"/>
    <s v="ALQUILER DE EQUIPO DE COMPUTO"/>
    <x v="0"/>
    <m/>
    <n v="25000"/>
    <m/>
    <m/>
    <m/>
    <m/>
    <m/>
    <n v="1"/>
    <m/>
    <m/>
    <m/>
    <m/>
    <m/>
    <m/>
    <n v="25000"/>
    <s v=" -   "/>
    <s v=" -   "/>
    <s v=" -   "/>
    <s v=" -   "/>
    <s v=" -   "/>
    <n v="25000"/>
    <s v=" -   "/>
    <s v=" -   "/>
    <s v=" -   "/>
    <s v=" -   "/>
    <s v=" -   "/>
    <s v=" -   "/>
    <n v="25000"/>
    <x v="0"/>
    <s v="P1"/>
    <m/>
    <s v="ALQUILER DE EQUIPO DE COMPUTO"/>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5.1.3"/>
    <m/>
    <s v="ALQUILER DE MOBILIARIO PARA OFICINA (CENTRAL)"/>
    <x v="0"/>
    <m/>
    <n v="25000"/>
    <m/>
    <m/>
    <m/>
    <m/>
    <m/>
    <n v="1"/>
    <m/>
    <m/>
    <m/>
    <m/>
    <m/>
    <m/>
    <n v="25000"/>
    <s v=" -   "/>
    <s v=" -   "/>
    <s v=" -   "/>
    <s v=" -   "/>
    <s v=" -   "/>
    <n v="25000"/>
    <s v=" -   "/>
    <s v=" -   "/>
    <s v=" -   "/>
    <s v=" -   "/>
    <s v=" -   "/>
    <s v=" -   "/>
    <n v="25000"/>
    <x v="0"/>
    <s v="P1"/>
    <m/>
    <s v="ALQUILER DE MOBILIARIO PARA OFICINA"/>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7.11.5"/>
    <m/>
    <s v="SERVICIO DE ATENCIÓN DE REFRIGERIOS"/>
    <x v="0"/>
    <m/>
    <n v="30000"/>
    <m/>
    <m/>
    <m/>
    <m/>
    <m/>
    <n v="1"/>
    <m/>
    <m/>
    <m/>
    <m/>
    <m/>
    <m/>
    <n v="30000"/>
    <s v=" -   "/>
    <s v=" -   "/>
    <s v=" -   "/>
    <s v=" -   "/>
    <s v=" -   "/>
    <n v="30000"/>
    <s v=" -   "/>
    <s v=" -   "/>
    <s v=" -   "/>
    <s v=" -   "/>
    <s v=" -   "/>
    <s v=" -   "/>
    <n v="30000"/>
    <x v="0"/>
    <s v="P1"/>
    <m/>
    <s v="SERVICIO DE ATENCIÓN DE REFRIGERIOS"/>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7.11.5"/>
    <m/>
    <s v="SERVICIO DE ALIMENTACION DE PERSONAS"/>
    <x v="0"/>
    <m/>
    <n v="12800"/>
    <m/>
    <m/>
    <m/>
    <m/>
    <m/>
    <n v="1"/>
    <n v="1"/>
    <m/>
    <m/>
    <m/>
    <m/>
    <m/>
    <n v="25600"/>
    <s v=" -   "/>
    <s v=" -   "/>
    <s v=" -   "/>
    <s v=" -   "/>
    <s v=" -   "/>
    <n v="12800"/>
    <n v="12800"/>
    <s v=" -   "/>
    <s v=" -   "/>
    <s v=" -   "/>
    <s v=" -   "/>
    <s v=" -   "/>
    <n v="25600"/>
    <x v="0"/>
    <s v="P1"/>
    <m/>
    <s v="SERVICIO DE ALIMENTACION DE PERSONAS"/>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5.1.1"/>
    <n v="940500010002"/>
    <s v="ALQUILER DE OFICINAS ADMINISTRATIVAS (PISO 10)"/>
    <x v="0"/>
    <m/>
    <n v="12000"/>
    <m/>
    <m/>
    <m/>
    <m/>
    <m/>
    <n v="1"/>
    <n v="1"/>
    <m/>
    <m/>
    <m/>
    <m/>
    <m/>
    <n v="24000"/>
    <s v=" -   "/>
    <s v=" -   "/>
    <s v=" -   "/>
    <s v=" -   "/>
    <s v=" -   "/>
    <n v="12000"/>
    <n v="12000"/>
    <s v=" -   "/>
    <s v=" -   "/>
    <s v=" -   "/>
    <s v=" -   "/>
    <s v=" -   "/>
    <n v="24000"/>
    <x v="1"/>
    <s v="P1"/>
    <m/>
    <s v="ALQUILER DE OFICINA ADMINISTRATIVA"/>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5.1.1"/>
    <n v="940500010002"/>
    <s v="ALQUILER DE OFICINAS ADMINISTRATIVAS (PISO 9)"/>
    <x v="0"/>
    <n v="1"/>
    <n v="12000"/>
    <m/>
    <m/>
    <m/>
    <m/>
    <m/>
    <n v="1"/>
    <n v="1"/>
    <m/>
    <m/>
    <m/>
    <m/>
    <m/>
    <n v="24000"/>
    <s v=" -   "/>
    <s v=" -   "/>
    <s v=" -   "/>
    <s v=" -   "/>
    <s v=" -   "/>
    <n v="12000"/>
    <n v="12000"/>
    <s v=" -   "/>
    <s v=" -   "/>
    <s v=" -   "/>
    <s v=" -   "/>
    <s v=" -   "/>
    <n v="24000"/>
    <x v="2"/>
    <s v="P1"/>
    <m/>
    <s v="ALQUILER DE OFICINA ADMINISTRATIVA"/>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5.1.3"/>
    <m/>
    <s v="ALQUILER DE MOBILIARIO PARA CENTRO DE MONITOREO - ESCRITORIOS (20)"/>
    <x v="0"/>
    <n v="1"/>
    <n v="10000"/>
    <m/>
    <m/>
    <m/>
    <m/>
    <m/>
    <n v="1"/>
    <n v="1"/>
    <m/>
    <m/>
    <m/>
    <m/>
    <m/>
    <n v="20000"/>
    <s v=" -   "/>
    <s v=" -   "/>
    <s v=" -   "/>
    <s v=" -   "/>
    <s v=" -   "/>
    <n v="10000"/>
    <n v="10000"/>
    <s v=" -   "/>
    <s v=" -   "/>
    <s v=" -   "/>
    <s v=" -   "/>
    <s v=" -   "/>
    <n v="20000"/>
    <x v="2"/>
    <s v="P1"/>
    <m/>
    <s v="ALQUILER DE MOBILIARIO PARA OFICINA"/>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5.1.3"/>
    <m/>
    <s v="ALQUILER DE MOBILIARIO PARA CENTRO DE MONITOREO - SILLAS (40)"/>
    <x v="0"/>
    <n v="1"/>
    <n v="10000"/>
    <m/>
    <m/>
    <m/>
    <m/>
    <m/>
    <n v="1"/>
    <n v="1"/>
    <m/>
    <m/>
    <m/>
    <m/>
    <m/>
    <n v="20000"/>
    <s v=" -   "/>
    <s v=" -   "/>
    <s v=" -   "/>
    <s v=" -   "/>
    <s v=" -   "/>
    <n v="10000"/>
    <n v="10000"/>
    <s v=" -   "/>
    <s v=" -   "/>
    <s v=" -   "/>
    <s v=" -   "/>
    <s v=" -   "/>
    <n v="20000"/>
    <x v="2"/>
    <s v="P1"/>
    <m/>
    <s v="ALQUILER DE MOBILIARIO PARA OFICINA"/>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5.1.4"/>
    <m/>
    <s v="ALQUILER DE EQUIPOS DE COMPUTO"/>
    <x v="0"/>
    <n v="1"/>
    <n v="12500"/>
    <m/>
    <m/>
    <m/>
    <m/>
    <m/>
    <n v="1"/>
    <n v="1"/>
    <m/>
    <m/>
    <m/>
    <m/>
    <m/>
    <n v="25000"/>
    <s v=" -   "/>
    <s v=" -   "/>
    <s v=" -   "/>
    <s v=" -   "/>
    <s v=" -   "/>
    <n v="12500"/>
    <n v="12500"/>
    <s v=" -   "/>
    <s v=" -   "/>
    <s v=" -   "/>
    <s v=" -   "/>
    <s v=" -   "/>
    <n v="25000"/>
    <x v="2"/>
    <s v="P1"/>
    <m/>
    <s v="ALQUILER DE EQUIPOS DE COMPUT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7.13.98"/>
    <m/>
    <s v="SERVICIO DE AUDITORÍA INFORMÁTICA PARA LAS SOLUCIONES TECNOLÓGICAS DE SOPORTE ELECTORAL AL ESCRUTINIO, CÓMPUTO DE RESULTADOS Y PRESENTACIÓN DE RESULTADOS"/>
    <x v="0"/>
    <n v="1"/>
    <n v="250000"/>
    <m/>
    <m/>
    <m/>
    <m/>
    <m/>
    <n v="0.5"/>
    <n v="0.5"/>
    <m/>
    <m/>
    <m/>
    <m/>
    <m/>
    <n v="250000"/>
    <s v=" -   "/>
    <s v=" -   "/>
    <s v=" -   "/>
    <s v=" -   "/>
    <s v=" -   "/>
    <n v="125000"/>
    <n v="125000"/>
    <s v=" -   "/>
    <s v=" -   "/>
    <s v=" -   "/>
    <s v=" -   "/>
    <s v=" -   "/>
    <n v="250000"/>
    <x v="2"/>
    <s v="P1"/>
    <m/>
    <s v="SERVICIO DE AUDITORÍA INFORMÁTICA PARA LAS SOLUCIONES TECNOLÓGICAS DE SOPORTE ELECTORAL AL ESCRUTINIO, CÓMPUTO DE RESULTADOS Y PRESENTACIÓN DE RESULTADOS"/>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10187"/>
    <s v="BOLIGRAFO (LAPICERO) DE TINTA SECA PUNTA FINA COLOR ROJO"/>
    <x v="1"/>
    <n v="1"/>
    <n v="2"/>
    <m/>
    <m/>
    <m/>
    <m/>
    <m/>
    <n v="25"/>
    <m/>
    <m/>
    <m/>
    <m/>
    <m/>
    <m/>
    <n v="50"/>
    <s v=" -   "/>
    <s v=" -   "/>
    <s v=" -   "/>
    <s v=" -   "/>
    <s v=" -   "/>
    <n v="50"/>
    <s v=" -   "/>
    <s v=" -   "/>
    <s v=" -   "/>
    <s v=" -   "/>
    <s v=" -   "/>
    <s v=" -   "/>
    <n v="50"/>
    <x v="2"/>
    <s v="P1"/>
    <m/>
    <s v="BOLIGRAFO (LAPICERO) DE TINTA SECA PUNTA FINA COLOR ROJ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10208"/>
    <s v="BOLIGRAFO (LAPICERO) DE TINTA SECA PUNTA FINA COLOR AZUL"/>
    <x v="1"/>
    <n v="1"/>
    <n v="2"/>
    <m/>
    <m/>
    <m/>
    <m/>
    <m/>
    <n v="50"/>
    <m/>
    <m/>
    <m/>
    <m/>
    <m/>
    <m/>
    <n v="100"/>
    <s v=" -   "/>
    <s v=" -   "/>
    <s v=" -   "/>
    <s v=" -   "/>
    <s v=" -   "/>
    <n v="100"/>
    <s v=" -   "/>
    <s v=" -   "/>
    <s v=" -   "/>
    <s v=" -   "/>
    <s v=" -   "/>
    <s v=" -   "/>
    <n v="100"/>
    <x v="2"/>
    <s v="P1"/>
    <m/>
    <s v="BOLIGRAFO (LAPICERO) DE TINTA SECA PUNTA FINA COLOR AZUL"/>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10209"/>
    <s v="BOLIGRAFO (LAPICERO) DE TINTA SECA PUNTA FINA COLOR NEGRO"/>
    <x v="1"/>
    <n v="1"/>
    <n v="2"/>
    <m/>
    <m/>
    <m/>
    <m/>
    <m/>
    <n v="50"/>
    <m/>
    <m/>
    <m/>
    <m/>
    <m/>
    <m/>
    <n v="100"/>
    <s v=" -   "/>
    <s v=" -   "/>
    <s v=" -   "/>
    <s v=" -   "/>
    <s v=" -   "/>
    <n v="100"/>
    <s v=" -   "/>
    <s v=" -   "/>
    <s v=" -   "/>
    <s v=" -   "/>
    <s v=" -   "/>
    <s v=" -   "/>
    <n v="100"/>
    <x v="2"/>
    <s v="P1"/>
    <m/>
    <s v="BOLIGRAFO (LAPICERO) DE TINTA SECA PUNTA FINA COLOR NEGR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40112"/>
    <s v="LAPIZ NEGRO GRADO 2B CON BORRADOR"/>
    <x v="1"/>
    <n v="1"/>
    <n v="1"/>
    <m/>
    <m/>
    <m/>
    <m/>
    <m/>
    <n v="50"/>
    <m/>
    <m/>
    <m/>
    <m/>
    <m/>
    <m/>
    <n v="50"/>
    <s v=" -   "/>
    <s v=" -   "/>
    <s v=" -   "/>
    <s v=" -   "/>
    <s v=" -   "/>
    <n v="50"/>
    <s v=" -   "/>
    <s v=" -   "/>
    <s v=" -   "/>
    <s v=" -   "/>
    <s v=" -   "/>
    <s v=" -   "/>
    <n v="50"/>
    <x v="2"/>
    <s v="P1"/>
    <m/>
    <s v="LAPIZ NEGRO GRADO 2B CON BORRADOR"/>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60413"/>
    <s v="PLUMON MARCADOR DE TINTA AL AGUA PUNTA GRUESA COLOR NEGRO"/>
    <x v="1"/>
    <n v="1"/>
    <n v="3"/>
    <m/>
    <m/>
    <m/>
    <m/>
    <m/>
    <n v="10"/>
    <m/>
    <m/>
    <m/>
    <m/>
    <m/>
    <m/>
    <n v="30"/>
    <s v=" -   "/>
    <s v=" -   "/>
    <s v=" -   "/>
    <s v=" -   "/>
    <s v=" -   "/>
    <n v="30"/>
    <s v=" -   "/>
    <s v=" -   "/>
    <s v=" -   "/>
    <s v=" -   "/>
    <s v=" -   "/>
    <s v=" -   "/>
    <n v="30"/>
    <x v="2"/>
    <s v="P1"/>
    <m/>
    <s v="PLUMON MARCADOR DE TINTA AL AGUA PUNTA GRUESA COLOR NEGR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60432"/>
    <s v="PLUMON DE TINTA INDELEBLE PUNTA FINA COLOR NEGRO"/>
    <x v="1"/>
    <n v="1"/>
    <n v="2.7"/>
    <m/>
    <m/>
    <m/>
    <m/>
    <m/>
    <n v="5"/>
    <m/>
    <m/>
    <m/>
    <m/>
    <m/>
    <m/>
    <n v="14"/>
    <s v=" -   "/>
    <s v=" -   "/>
    <s v=" -   "/>
    <s v=" -   "/>
    <s v=" -   "/>
    <n v="14"/>
    <s v=" -   "/>
    <s v=" -   "/>
    <s v=" -   "/>
    <s v=" -   "/>
    <s v=" -   "/>
    <s v=" -   "/>
    <n v="14"/>
    <x v="2"/>
    <s v="P1"/>
    <m/>
    <s v="PLUMON DE TINTA INDELEBLE PUNTA FINA COLOR NEGR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60443"/>
    <s v="PLUMON RESALTADOR PUNTA GRUESA BISELADA COLOR AMARILLO"/>
    <x v="1"/>
    <n v="1"/>
    <n v="1.5"/>
    <m/>
    <m/>
    <m/>
    <m/>
    <m/>
    <n v="20"/>
    <m/>
    <m/>
    <m/>
    <m/>
    <m/>
    <m/>
    <n v="30"/>
    <s v=" -   "/>
    <s v=" -   "/>
    <s v=" -   "/>
    <s v=" -   "/>
    <s v=" -   "/>
    <n v="30"/>
    <s v=" -   "/>
    <s v=" -   "/>
    <s v=" -   "/>
    <s v=" -   "/>
    <s v=" -   "/>
    <s v=" -   "/>
    <n v="30"/>
    <x v="2"/>
    <s v="P1"/>
    <m/>
    <s v="PLUMON RESALTADOR PUNTA GRUESA BISELADA COLOR AMARILL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6000060444"/>
    <s v="PLUMON RESALTADOR PUNTA GRUESA BISELADA COLOR NARANJA"/>
    <x v="1"/>
    <n v="1"/>
    <n v="1.5"/>
    <m/>
    <m/>
    <m/>
    <m/>
    <m/>
    <n v="20"/>
    <m/>
    <m/>
    <m/>
    <m/>
    <m/>
    <m/>
    <n v="30"/>
    <s v=" -   "/>
    <s v=" -   "/>
    <s v=" -   "/>
    <s v=" -   "/>
    <s v=" -   "/>
    <n v="30"/>
    <s v=" -   "/>
    <s v=" -   "/>
    <s v=" -   "/>
    <s v=" -   "/>
    <s v=" -   "/>
    <s v=" -   "/>
    <n v="30"/>
    <x v="2"/>
    <s v="P1"/>
    <m/>
    <s v="PLUMON RESALTADOR PUNTA GRUESA BISELADA COLOR ANARANJAD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7200030013"/>
    <s v="CUADERNO CUADRICULADO TAMAÑO A5 X 100 HOJAS APROX."/>
    <x v="1"/>
    <n v="1"/>
    <n v="8"/>
    <m/>
    <m/>
    <m/>
    <m/>
    <m/>
    <n v="20"/>
    <m/>
    <m/>
    <m/>
    <m/>
    <m/>
    <m/>
    <n v="160"/>
    <s v=" -   "/>
    <s v=" -   "/>
    <s v=" -   "/>
    <s v=" -   "/>
    <s v=" -   "/>
    <n v="160"/>
    <s v=" -   "/>
    <s v=" -   "/>
    <s v=" -   "/>
    <s v=" -   "/>
    <s v=" -   "/>
    <s v=" -   "/>
    <n v="160"/>
    <x v="2"/>
    <s v="P1"/>
    <m/>
    <s v="CUADERNO CUADRICULADO TAMAÑO A5 x 100 hojas aprox"/>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m/>
    <s v="CLIP MARIPOSA DE METAL 45 mm  X 50"/>
    <x v="1"/>
    <n v="1"/>
    <n v="4"/>
    <m/>
    <m/>
    <m/>
    <m/>
    <m/>
    <n v="30"/>
    <m/>
    <m/>
    <m/>
    <m/>
    <m/>
    <m/>
    <n v="120"/>
    <s v=" -   "/>
    <s v=" -   "/>
    <s v=" -   "/>
    <s v=" -   "/>
    <s v=" -   "/>
    <n v="120"/>
    <s v=" -   "/>
    <s v=" -   "/>
    <s v=" -   "/>
    <s v=" -   "/>
    <s v=" -   "/>
    <s v=" -   "/>
    <n v="120"/>
    <x v="2"/>
    <s v="P1"/>
    <m/>
    <s v="CLIP MARIPOSA DE METAL 45mm aprox x 50"/>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718500050058"/>
    <s v="CLIP DE METAL 33 mm X 100"/>
    <x v="1"/>
    <n v="1"/>
    <n v="2"/>
    <m/>
    <m/>
    <m/>
    <m/>
    <m/>
    <n v="50"/>
    <m/>
    <m/>
    <m/>
    <m/>
    <m/>
    <m/>
    <n v="100"/>
    <s v=" -   "/>
    <s v=" -   "/>
    <s v=" -   "/>
    <s v=" -   "/>
    <s v=" -   "/>
    <n v="100"/>
    <s v=" -   "/>
    <s v=" -   "/>
    <s v=" -   "/>
    <s v=" -   "/>
    <s v=" -   "/>
    <s v=" -   "/>
    <n v="100"/>
    <x v="2"/>
    <s v="P1"/>
    <m/>
    <s v="CLIP DE METAL 30 mm X 100"/>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99.1.99"/>
    <n v="501100041599"/>
    <s v="BOLSA DE POLIETILENO 50 X 80 CM"/>
    <x v="1"/>
    <n v="1"/>
    <n v="0.7"/>
    <m/>
    <m/>
    <m/>
    <m/>
    <m/>
    <n v="100"/>
    <m/>
    <m/>
    <m/>
    <m/>
    <m/>
    <m/>
    <n v="70"/>
    <s v=" -   "/>
    <s v=" -   "/>
    <s v=" -   "/>
    <s v=" -   "/>
    <s v=" -   "/>
    <n v="70"/>
    <s v=" -   "/>
    <s v=" -   "/>
    <s v=" -   "/>
    <s v=" -   "/>
    <s v=" -   "/>
    <s v=" -   "/>
    <n v="70"/>
    <x v="2"/>
    <s v="P1"/>
    <m/>
    <s v="BOLSA DE POLIETILENO 1.5 um x 50 CM X 80 APROX COLOR NEGRO"/>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443600250055"/>
    <s v="MICA PARA LAMINADORA A4"/>
    <x v="1"/>
    <n v="1"/>
    <n v="75"/>
    <m/>
    <m/>
    <m/>
    <m/>
    <m/>
    <s v="ahora: 200_x000a_antes: 2"/>
    <m/>
    <m/>
    <m/>
    <m/>
    <m/>
    <m/>
    <n v="150"/>
    <s v=" -   "/>
    <s v=" -   "/>
    <s v=" -   "/>
    <s v=" -   "/>
    <s v=" -   "/>
    <n v="150"/>
    <s v=" -   "/>
    <s v=" -   "/>
    <s v=" -   "/>
    <s v=" -   "/>
    <s v=" -   "/>
    <s v=" -   "/>
    <n v="150"/>
    <x v="2"/>
    <s v="P1"/>
    <m/>
    <s v="lamina para enmicar 175 um tamaño a4"/>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1.5.1.2"/>
    <n v="443600250053"/>
    <s v="MICA PARA LAMINADORA A3"/>
    <x v="1"/>
    <n v="1"/>
    <n v="130"/>
    <m/>
    <m/>
    <m/>
    <m/>
    <m/>
    <s v="ahora: 100_x000a_antes - 1"/>
    <m/>
    <m/>
    <m/>
    <m/>
    <m/>
    <m/>
    <n v="130"/>
    <s v=" -   "/>
    <s v=" -   "/>
    <s v=" -   "/>
    <s v=" -   "/>
    <s v=" -   "/>
    <n v="130"/>
    <s v=" -   "/>
    <s v=" -   "/>
    <s v=" -   "/>
    <s v=" -   "/>
    <s v=" -   "/>
    <s v=" -   "/>
    <n v="130"/>
    <x v="2"/>
    <s v="P1"/>
    <m/>
    <s v="lamina para enmicar 125 um tamaño a3"/>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5.1.99"/>
    <n v="942500010037"/>
    <s v="SUSCRIPCIÓN ANUAL A LICENCIA DE SOFTWARE"/>
    <x v="0"/>
    <n v="1"/>
    <n v="20000"/>
    <m/>
    <m/>
    <m/>
    <m/>
    <m/>
    <n v="1"/>
    <m/>
    <m/>
    <m/>
    <m/>
    <m/>
    <m/>
    <n v="20000"/>
    <s v=" -   "/>
    <s v=" -   "/>
    <s v=" -   "/>
    <s v=" -   "/>
    <s v=" -   "/>
    <n v="20000"/>
    <s v=" -   "/>
    <s v=" -   "/>
    <s v=" -   "/>
    <s v=" -   "/>
    <s v=" -   "/>
    <s v=" -   "/>
    <n v="20000"/>
    <x v="2"/>
    <s v="P1"/>
    <m/>
    <s v="SUSCRIPCIÓN ANUAL A LICENCIA DE SOFTWARE"/>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INFRAESTRUCTURA DE BASE DE DATOS"/>
    <x v="2"/>
    <n v="2"/>
    <n v="6000"/>
    <m/>
    <m/>
    <m/>
    <m/>
    <n v="30"/>
    <n v="30"/>
    <m/>
    <m/>
    <m/>
    <m/>
    <m/>
    <m/>
    <n v="24000"/>
    <s v=" -   "/>
    <s v=" -   "/>
    <s v=" -   "/>
    <s v=" -   "/>
    <n v="12000"/>
    <n v="12000"/>
    <s v=" -   "/>
    <s v=" -   "/>
    <s v=" -   "/>
    <s v=" -   "/>
    <s v=" -   "/>
    <s v=" -   "/>
    <n v="2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DMINISTRADOR DE BASE DE DATOS"/>
    <x v="2"/>
    <n v="2"/>
    <n v="6500"/>
    <m/>
    <m/>
    <m/>
    <m/>
    <n v="30"/>
    <n v="30"/>
    <m/>
    <m/>
    <m/>
    <m/>
    <m/>
    <m/>
    <n v="26000"/>
    <s v=" -   "/>
    <s v=" -   "/>
    <s v=" -   "/>
    <s v=" -   "/>
    <n v="13000"/>
    <n v="13000"/>
    <s v=" -   "/>
    <s v=" -   "/>
    <s v=" -   "/>
    <s v=" -   "/>
    <s v=" -   "/>
    <s v=" -   "/>
    <n v="2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LECTORAL DE BASE DE DATOS"/>
    <x v="2"/>
    <n v="2"/>
    <n v="6000"/>
    <m/>
    <m/>
    <m/>
    <m/>
    <n v="30"/>
    <n v="30"/>
    <m/>
    <m/>
    <m/>
    <m/>
    <m/>
    <m/>
    <n v="24000"/>
    <s v=" -   "/>
    <s v=" -   "/>
    <s v=" -   "/>
    <s v=" -   "/>
    <n v="12000"/>
    <n v="12000"/>
    <s v=" -   "/>
    <s v=" -   "/>
    <s v=" -   "/>
    <s v=" -   "/>
    <s v=" -   "/>
    <s v=" -   "/>
    <n v="2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OPERADOR DE BASE DE DATOS"/>
    <x v="2"/>
    <n v="3"/>
    <n v="5500"/>
    <m/>
    <m/>
    <m/>
    <m/>
    <n v="30"/>
    <n v="30"/>
    <m/>
    <m/>
    <m/>
    <m/>
    <m/>
    <m/>
    <n v="33000"/>
    <s v=" -   "/>
    <s v=" -   "/>
    <s v=" -   "/>
    <s v=" -   "/>
    <n v="16500"/>
    <n v="16500"/>
    <s v=" -   "/>
    <s v=" -   "/>
    <s v=" -   "/>
    <s v=" -   "/>
    <s v=" -   "/>
    <s v=" -   "/>
    <n v="3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ELECTORAL SENIOR DE BASE DE DATOS"/>
    <x v="2"/>
    <n v="2"/>
    <n v="7000"/>
    <m/>
    <m/>
    <m/>
    <m/>
    <n v="30"/>
    <n v="30"/>
    <m/>
    <m/>
    <m/>
    <m/>
    <m/>
    <m/>
    <n v="28000"/>
    <s v=" -   "/>
    <s v=" -   "/>
    <s v=" -   "/>
    <s v=" -   "/>
    <n v="14000"/>
    <n v="14000"/>
    <s v=" -   "/>
    <s v=" -   "/>
    <s v=" -   "/>
    <s v=" -   "/>
    <s v=" -   "/>
    <s v=" -   "/>
    <n v="28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SERVIDORES DE APLICACIONES"/>
    <x v="2"/>
    <n v="1"/>
    <n v="6500"/>
    <m/>
    <m/>
    <m/>
    <m/>
    <n v="30"/>
    <n v="30"/>
    <m/>
    <m/>
    <m/>
    <m/>
    <m/>
    <m/>
    <n v="13000"/>
    <s v=" -   "/>
    <s v=" -   "/>
    <s v=" -   "/>
    <s v=" -   "/>
    <n v="6500"/>
    <n v="6500"/>
    <s v=" -   "/>
    <s v=" -   "/>
    <s v=" -   "/>
    <s v=" -   "/>
    <s v=" -   "/>
    <s v=" -   "/>
    <n v="1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TECNICO DE SERVIDORES DE APLICACIONES"/>
    <x v="2"/>
    <n v="1"/>
    <n v="5500"/>
    <m/>
    <m/>
    <m/>
    <m/>
    <n v="30"/>
    <n v="30"/>
    <m/>
    <m/>
    <m/>
    <m/>
    <m/>
    <m/>
    <n v="11000"/>
    <s v=" -   "/>
    <s v=" -   "/>
    <s v=" -   "/>
    <s v=" -   "/>
    <n v="5500"/>
    <n v="5500"/>
    <s v=" -   "/>
    <s v=" -   "/>
    <s v=" -   "/>
    <s v=" -   "/>
    <s v=" -   "/>
    <s v=" -   "/>
    <n v="11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EN SERVIDORES DE APLICACIONES DE TI"/>
    <x v="2"/>
    <n v="1"/>
    <n v="7000"/>
    <m/>
    <m/>
    <m/>
    <m/>
    <n v="30"/>
    <n v="30"/>
    <m/>
    <m/>
    <m/>
    <m/>
    <m/>
    <m/>
    <n v="14000"/>
    <s v=" -   "/>
    <s v=" -   "/>
    <s v=" -   "/>
    <s v=" -   "/>
    <n v="7000"/>
    <n v="7000"/>
    <s v=" -   "/>
    <s v=" -   "/>
    <s v=" -   "/>
    <s v=" -   "/>
    <s v=" -   "/>
    <s v=" -   "/>
    <n v="1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GESTOR DE PROYECTOS DE INFRAESTRUCTURA TECNOLOGICA"/>
    <x v="2"/>
    <n v="1"/>
    <n v="12000"/>
    <m/>
    <m/>
    <m/>
    <m/>
    <n v="30"/>
    <n v="30"/>
    <m/>
    <m/>
    <m/>
    <m/>
    <m/>
    <m/>
    <n v="24000"/>
    <s v=" -   "/>
    <s v=" -   "/>
    <s v=" -   "/>
    <s v=" -   "/>
    <n v="12000"/>
    <n v="12000"/>
    <s v=" -   "/>
    <s v=" -   "/>
    <s v=" -   "/>
    <s v=" -   "/>
    <s v=" -   "/>
    <s v=" -   "/>
    <n v="2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GESTOR DE PROYECTOS DE TELECOMUNICACIONES"/>
    <x v="2"/>
    <n v="1"/>
    <n v="12000"/>
    <m/>
    <m/>
    <m/>
    <m/>
    <n v="30"/>
    <n v="30"/>
    <m/>
    <m/>
    <m/>
    <m/>
    <m/>
    <m/>
    <n v="24000"/>
    <s v=" -   "/>
    <s v=" -   "/>
    <s v=" -   "/>
    <s v=" -   "/>
    <n v="12000"/>
    <n v="12000"/>
    <s v=" -   "/>
    <s v=" -   "/>
    <s v=" -   "/>
    <s v=" -   "/>
    <s v=" -   "/>
    <s v=" -   "/>
    <n v="2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DE PROCESOS Y SERVICIOS INFORMATICOS"/>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DE PROYECTOS DE INFRAESTRUCTURA DE TI"/>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EN GESTION Y CONTROL DE CONTRATACIONES Y PROYECTOS"/>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DE REDES Y TELECOMUNICACIONES"/>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EN REQUERIMIENTOS DE SERVICIOS INFORMATICOS"/>
    <x v="2"/>
    <n v="1"/>
    <n v="7000"/>
    <m/>
    <m/>
    <m/>
    <m/>
    <n v="30"/>
    <n v="30"/>
    <m/>
    <m/>
    <m/>
    <m/>
    <m/>
    <m/>
    <n v="14000"/>
    <s v=" -   "/>
    <s v=" -   "/>
    <s v=" -   "/>
    <s v=" -   "/>
    <n v="7000"/>
    <n v="7000"/>
    <s v=" -   "/>
    <s v=" -   "/>
    <s v=" -   "/>
    <s v=" -   "/>
    <s v=" -   "/>
    <s v=" -   "/>
    <n v="1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REQUERIMIENTOS DE SERVICIOS INFORMATICOS"/>
    <x v="2"/>
    <n v="1"/>
    <n v="6500"/>
    <m/>
    <m/>
    <m/>
    <m/>
    <n v="30"/>
    <n v="30"/>
    <m/>
    <m/>
    <m/>
    <m/>
    <m/>
    <m/>
    <n v="13000"/>
    <s v=" -   "/>
    <s v=" -   "/>
    <s v=" -   "/>
    <s v=" -   "/>
    <n v="6500"/>
    <n v="6500"/>
    <s v=" -   "/>
    <s v=" -   "/>
    <s v=" -   "/>
    <s v=" -   "/>
    <s v=" -   "/>
    <s v=" -   "/>
    <n v="1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CONTRATACION DE SERVICIOS DE TI"/>
    <x v="2"/>
    <n v="3"/>
    <n v="5500"/>
    <m/>
    <m/>
    <m/>
    <m/>
    <n v="30"/>
    <n v="30"/>
    <m/>
    <m/>
    <m/>
    <m/>
    <m/>
    <m/>
    <n v="33000"/>
    <s v=" -   "/>
    <s v=" -   "/>
    <s v=" -   "/>
    <s v=" -   "/>
    <n v="16500"/>
    <n v="16500"/>
    <s v=" -   "/>
    <s v=" -   "/>
    <s v=" -   "/>
    <s v=" -   "/>
    <s v=" -   "/>
    <s v=" -   "/>
    <n v="3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CONTROL PREVIO DE SERVICIOS DE TI"/>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SERVICIOS INFORMATICOS"/>
    <x v="2"/>
    <n v="1"/>
    <n v="5500"/>
    <m/>
    <m/>
    <m/>
    <m/>
    <n v="30"/>
    <n v="30"/>
    <m/>
    <m/>
    <m/>
    <m/>
    <m/>
    <m/>
    <n v="11000"/>
    <s v=" -   "/>
    <s v=" -   "/>
    <s v=" -   "/>
    <s v=" -   "/>
    <n v="5500"/>
    <n v="5500"/>
    <s v=" -   "/>
    <s v=" -   "/>
    <s v=" -   "/>
    <s v=" -   "/>
    <s v=" -   "/>
    <s v=" -   "/>
    <n v="11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PROYECTOS DE INFRAESTRUCTURA TECNOLOGICA"/>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DE PROYECTOS Y SERVICIOS DE TI"/>
    <x v="2"/>
    <n v="3"/>
    <n v="5000"/>
    <m/>
    <m/>
    <m/>
    <m/>
    <n v="30"/>
    <n v="30"/>
    <m/>
    <m/>
    <m/>
    <m/>
    <m/>
    <m/>
    <n v="30000"/>
    <s v=" -   "/>
    <s v=" -   "/>
    <s v=" -   "/>
    <s v=" -   "/>
    <n v="15000"/>
    <n v="15000"/>
    <s v=" -   "/>
    <s v=" -   "/>
    <s v=" -   "/>
    <s v=" -   "/>
    <s v=" -   "/>
    <s v=" -   "/>
    <n v="3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EN GESTIÓN DE LA PLATAFORMA TECNOLOGICA Y SEGURIDAD TI"/>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CENTRO DE MONITOREO DE SERVICIOS DE TI"/>
    <x v="2"/>
    <n v="3"/>
    <n v="5000"/>
    <m/>
    <m/>
    <m/>
    <m/>
    <n v="30"/>
    <n v="30"/>
    <m/>
    <m/>
    <m/>
    <m/>
    <m/>
    <m/>
    <n v="30000"/>
    <s v=" -   "/>
    <s v=" -   "/>
    <s v=" -   "/>
    <s v=" -   "/>
    <n v="15000"/>
    <n v="15000"/>
    <s v=" -   "/>
    <s v=" -   "/>
    <s v=" -   "/>
    <s v=" -   "/>
    <s v=" -   "/>
    <s v=" -   "/>
    <n v="3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PLATAFORMA DE VIRTUALIZACION"/>
    <x v="2"/>
    <n v="1"/>
    <n v="6500"/>
    <m/>
    <m/>
    <m/>
    <m/>
    <n v="30"/>
    <n v="30"/>
    <m/>
    <m/>
    <m/>
    <m/>
    <m/>
    <m/>
    <n v="13000"/>
    <s v=" -   "/>
    <s v=" -   "/>
    <s v=" -   "/>
    <s v=" -   "/>
    <n v="6500"/>
    <n v="6500"/>
    <s v=" -   "/>
    <s v=" -   "/>
    <s v=" -   "/>
    <s v=" -   "/>
    <s v=" -   "/>
    <s v=" -   "/>
    <n v="1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DMINISTRADOR EN PLATAFORMA DE VIRTUALIZACION"/>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DE COPIAS DE SEGURIDAD"/>
    <x v="2"/>
    <n v="1"/>
    <n v="5000"/>
    <m/>
    <m/>
    <m/>
    <m/>
    <n v="30"/>
    <n v="30"/>
    <m/>
    <m/>
    <m/>
    <m/>
    <m/>
    <m/>
    <n v="10000"/>
    <s v=" -   "/>
    <s v=" -   "/>
    <s v=" -   "/>
    <s v=" -   "/>
    <n v="5000"/>
    <n v="5000"/>
    <s v=" -   "/>
    <s v=" -   "/>
    <s v=" -   "/>
    <s v=" -   "/>
    <s v=" -   "/>
    <s v=" -   "/>
    <n v="1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PLATAFORMA DE REDES Y COMUNICACIONES"/>
    <x v="2"/>
    <n v="3"/>
    <n v="6000"/>
    <m/>
    <m/>
    <m/>
    <m/>
    <n v="30"/>
    <n v="30"/>
    <m/>
    <m/>
    <m/>
    <m/>
    <m/>
    <m/>
    <n v="36000"/>
    <s v=" -   "/>
    <s v=" -   "/>
    <s v=" -   "/>
    <s v=" -   "/>
    <n v="18000"/>
    <n v="18000"/>
    <s v=" -   "/>
    <s v=" -   "/>
    <s v=" -   "/>
    <s v=" -   "/>
    <s v=" -   "/>
    <s v=" -   "/>
    <n v="3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EN PLATAFORMA DE SEGURIDAD TECNOLOGICA"/>
    <x v="2"/>
    <n v="1"/>
    <n v="7000"/>
    <m/>
    <m/>
    <m/>
    <m/>
    <n v="30"/>
    <n v="30"/>
    <m/>
    <m/>
    <m/>
    <m/>
    <m/>
    <m/>
    <n v="14000"/>
    <s v=" -   "/>
    <s v=" -   "/>
    <s v=" -   "/>
    <s v=" -   "/>
    <n v="7000"/>
    <n v="7000"/>
    <s v=" -   "/>
    <s v=" -   "/>
    <s v=" -   "/>
    <s v=" -   "/>
    <s v=" -   "/>
    <s v=" -   "/>
    <n v="14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PLATAFORMA DE SEGURIDAD TECNOLOGICA"/>
    <x v="2"/>
    <n v="1"/>
    <n v="6500"/>
    <m/>
    <m/>
    <m/>
    <m/>
    <n v="30"/>
    <n v="30"/>
    <m/>
    <m/>
    <m/>
    <m/>
    <m/>
    <m/>
    <n v="13000"/>
    <s v=" -   "/>
    <s v=" -   "/>
    <s v=" -   "/>
    <s v=" -   "/>
    <n v="6500"/>
    <n v="6500"/>
    <s v=" -   "/>
    <s v=" -   "/>
    <s v=" -   "/>
    <s v=" -   "/>
    <s v=" -   "/>
    <s v=" -   "/>
    <n v="1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PLATAFORMA DE SEGURIDAD DE LA RED DE SERVICIOS"/>
    <x v="2"/>
    <n v="1"/>
    <n v="6500"/>
    <m/>
    <m/>
    <m/>
    <m/>
    <n v="30"/>
    <n v="30"/>
    <m/>
    <m/>
    <m/>
    <m/>
    <m/>
    <m/>
    <n v="13000"/>
    <s v=" -   "/>
    <s v=" -   "/>
    <s v=" -   "/>
    <s v=" -   "/>
    <n v="6500"/>
    <n v="6500"/>
    <s v=" -   "/>
    <s v=" -   "/>
    <s v=" -   "/>
    <s v=" -   "/>
    <s v=" -   "/>
    <s v=" -   "/>
    <n v="1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GESTOR DE LA RED ELECTORAL"/>
    <x v="2"/>
    <n v="1"/>
    <n v="10000"/>
    <m/>
    <m/>
    <m/>
    <m/>
    <n v="30"/>
    <n v="30"/>
    <m/>
    <m/>
    <m/>
    <m/>
    <m/>
    <m/>
    <n v="20000"/>
    <s v=" -   "/>
    <s v=" -   "/>
    <s v=" -   "/>
    <s v=" -   "/>
    <n v="10000"/>
    <n v="10000"/>
    <s v=" -   "/>
    <s v=" -   "/>
    <s v=" -   "/>
    <s v=" -   "/>
    <s v=" -   "/>
    <s v=" -   "/>
    <n v="2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EN INFRAESTRUCTURA TECNOLOGICA"/>
    <x v="2"/>
    <n v="1"/>
    <n v="6500"/>
    <m/>
    <m/>
    <m/>
    <m/>
    <n v="30"/>
    <n v="30"/>
    <m/>
    <m/>
    <m/>
    <m/>
    <m/>
    <m/>
    <n v="13000"/>
    <s v=" -   "/>
    <s v=" -   "/>
    <s v=" -   "/>
    <s v=" -   "/>
    <n v="6500"/>
    <n v="6500"/>
    <s v=" -   "/>
    <s v=" -   "/>
    <s v=" -   "/>
    <s v=" -   "/>
    <s v=" -   "/>
    <s v=" -   "/>
    <n v="13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SOPORTE DE RED DE SERVICIOS"/>
    <x v="2"/>
    <n v="2"/>
    <n v="5000"/>
    <m/>
    <m/>
    <m/>
    <m/>
    <n v="30"/>
    <n v="30"/>
    <m/>
    <m/>
    <m/>
    <m/>
    <m/>
    <m/>
    <n v="20000"/>
    <s v=" -   "/>
    <s v=" -   "/>
    <s v=" -   "/>
    <s v=" -   "/>
    <n v="10000"/>
    <n v="10000"/>
    <s v=" -   "/>
    <s v=" -   "/>
    <s v=" -   "/>
    <s v=" -   "/>
    <s v=" -   "/>
    <s v=" -   "/>
    <n v="2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RED DE DATOS ELECTORAL"/>
    <x v="2"/>
    <n v="7"/>
    <n v="5000"/>
    <m/>
    <m/>
    <m/>
    <m/>
    <n v="30"/>
    <n v="30"/>
    <m/>
    <m/>
    <m/>
    <m/>
    <m/>
    <m/>
    <n v="70000"/>
    <s v=" -   "/>
    <s v=" -   "/>
    <s v=" -   "/>
    <s v=" -   "/>
    <n v="35000"/>
    <n v="35000"/>
    <s v=" -   "/>
    <s v=" -   "/>
    <s v=" -   "/>
    <s v=" -   "/>
    <s v=" -   "/>
    <s v=" -   "/>
    <n v="7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EN SISTEMAS OPERATIVOS"/>
    <x v="2"/>
    <n v="1"/>
    <n v="5000"/>
    <m/>
    <m/>
    <m/>
    <m/>
    <n v="30"/>
    <n v="30"/>
    <m/>
    <m/>
    <m/>
    <m/>
    <m/>
    <m/>
    <n v="10000"/>
    <s v=" -   "/>
    <s v=" -   "/>
    <s v=" -   "/>
    <s v=" -   "/>
    <n v="5000"/>
    <n v="5000"/>
    <s v=" -   "/>
    <s v=" -   "/>
    <s v=" -   "/>
    <s v=" -   "/>
    <s v=" -   "/>
    <s v=" -   "/>
    <n v="1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DMINISTRADOR DE LA RED ELECTORAL"/>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DE TELECOMUNICACIONES"/>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DMINISTRADOR DE TELECOMUNICACIONES"/>
    <x v="2"/>
    <n v="6"/>
    <n v="5000"/>
    <m/>
    <m/>
    <m/>
    <m/>
    <n v="30"/>
    <n v="30"/>
    <m/>
    <m/>
    <m/>
    <m/>
    <m/>
    <m/>
    <n v="60000"/>
    <s v=" -   "/>
    <s v=" -   "/>
    <s v=" -   "/>
    <s v=" -   "/>
    <n v="30000"/>
    <n v="30000"/>
    <s v=" -   "/>
    <s v=" -   "/>
    <s v=" -   "/>
    <s v=" -   "/>
    <s v=" -   "/>
    <s v=" -   "/>
    <n v="60000"/>
    <x v="0"/>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ANALISTA EN INFRAESTRUCTURA DE SEGURIDAD TECNOLOGICA"/>
    <x v="2"/>
    <n v="2"/>
    <n v="6500"/>
    <m/>
    <m/>
    <m/>
    <m/>
    <n v="30"/>
    <n v="30"/>
    <m/>
    <m/>
    <m/>
    <m/>
    <m/>
    <m/>
    <n v="26000"/>
    <s v=" -   "/>
    <s v=" -   "/>
    <s v=" -   "/>
    <s v=" -   "/>
    <n v="13000"/>
    <n v="13000"/>
    <s v=" -   "/>
    <s v=" -   "/>
    <s v=" -   "/>
    <s v=" -   "/>
    <s v=" -   "/>
    <s v=" -   "/>
    <n v="2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ADMINISTRATIVO DE PLATAFORMA OPERATIVA"/>
    <x v="2"/>
    <n v="1"/>
    <n v="4000"/>
    <m/>
    <m/>
    <m/>
    <m/>
    <n v="30"/>
    <n v="30"/>
    <m/>
    <m/>
    <m/>
    <m/>
    <m/>
    <m/>
    <n v="8000"/>
    <s v=" -   "/>
    <s v=" -   "/>
    <s v=" -   "/>
    <s v=" -   "/>
    <n v="4000"/>
    <n v="4000"/>
    <s v=" -   "/>
    <s v=" -   "/>
    <s v=" -   "/>
    <s v=" -   "/>
    <s v=" -   "/>
    <s v=" -   "/>
    <n v="8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TECNICO DE MESA DE AYUDA"/>
    <x v="2"/>
    <n v="7"/>
    <n v="5000"/>
    <m/>
    <m/>
    <m/>
    <m/>
    <n v="30"/>
    <n v="30"/>
    <m/>
    <m/>
    <m/>
    <m/>
    <m/>
    <m/>
    <n v="70000"/>
    <s v=" -   "/>
    <s v=" -   "/>
    <s v=" -   "/>
    <s v=" -   "/>
    <n v="35000"/>
    <n v="35000"/>
    <s v=" -   "/>
    <s v=" -   "/>
    <s v=" -   "/>
    <s v=" -   "/>
    <s v=" -   "/>
    <s v=" -   "/>
    <n v="70000"/>
    <x v="0"/>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ESPECIALISTA EN SEGURIDAD DE LA INFORMACION"/>
    <x v="2"/>
    <n v="1"/>
    <n v="7000"/>
    <m/>
    <m/>
    <m/>
    <m/>
    <n v="30"/>
    <n v="30"/>
    <m/>
    <m/>
    <m/>
    <m/>
    <m/>
    <m/>
    <n v="14000"/>
    <s v=" -   "/>
    <s v=" -   "/>
    <s v=" -   "/>
    <s v=" -   "/>
    <n v="7000"/>
    <n v="7000"/>
    <s v=" -   "/>
    <s v=" -   "/>
    <s v=" -   "/>
    <s v=" -   "/>
    <s v=" -   "/>
    <s v=" -   "/>
    <n v="14000"/>
    <x v="0"/>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ASISTENTE EN SEGURIDAD DE LA INFORMACION"/>
    <x v="2"/>
    <n v="1"/>
    <n v="4500"/>
    <m/>
    <m/>
    <m/>
    <m/>
    <n v="30"/>
    <n v="30"/>
    <m/>
    <m/>
    <m/>
    <m/>
    <m/>
    <m/>
    <n v="9000"/>
    <s v=" -   "/>
    <s v=" -   "/>
    <s v=" -   "/>
    <s v=" -   "/>
    <n v="4500"/>
    <n v="4500"/>
    <s v=" -   "/>
    <s v=" -   "/>
    <s v=" -   "/>
    <s v=" -   "/>
    <s v=" -   "/>
    <s v=" -   "/>
    <n v="9000"/>
    <x v="0"/>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ESPECIALISTA EN CIBERSEGURIDAD"/>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SOPORTE TECNICO"/>
    <x v="2"/>
    <n v="24"/>
    <n v="5000"/>
    <m/>
    <m/>
    <m/>
    <m/>
    <n v="30"/>
    <n v="30"/>
    <m/>
    <m/>
    <m/>
    <m/>
    <m/>
    <m/>
    <n v="240000"/>
    <s v=" -   "/>
    <s v=" -   "/>
    <s v=" -   "/>
    <s v=" -   "/>
    <n v="120000"/>
    <n v="120000"/>
    <s v=" -   "/>
    <s v=" -   "/>
    <s v=" -   "/>
    <s v=" -   "/>
    <s v=" -   "/>
    <s v=" -   "/>
    <n v="24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MONITOR DE SEGUMIENTO DE PLANES ESPECIALIZADOS"/>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TECNICO DE MONITOREO DE PLANES"/>
    <x v="2"/>
    <n v="1"/>
    <n v="4500"/>
    <m/>
    <m/>
    <m/>
    <m/>
    <n v="30"/>
    <n v="30"/>
    <m/>
    <m/>
    <m/>
    <m/>
    <m/>
    <m/>
    <n v="9000"/>
    <s v=" -   "/>
    <s v=" -   "/>
    <s v=" -   "/>
    <s v=" -   "/>
    <n v="4500"/>
    <n v="4500"/>
    <s v=" -   "/>
    <s v=" -   "/>
    <s v=" -   "/>
    <s v=" -   "/>
    <s v=" -   "/>
    <s v=" -   "/>
    <n v="9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NALISTA LOGISTICOS DE SERVICIOS INFORMATICOS "/>
    <x v="2"/>
    <n v="1"/>
    <n v="6000"/>
    <m/>
    <m/>
    <m/>
    <m/>
    <n v="30"/>
    <n v="30"/>
    <m/>
    <m/>
    <m/>
    <m/>
    <m/>
    <m/>
    <n v="12000"/>
    <s v=" -   "/>
    <s v=" -   "/>
    <s v=" -   "/>
    <s v=" -   "/>
    <n v="6000"/>
    <n v="6000"/>
    <s v=" -   "/>
    <s v=" -   "/>
    <s v=" -   "/>
    <s v=" -   "/>
    <s v=" -   "/>
    <s v=" -   "/>
    <n v="1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LOGISTICOS DE SERVICIOS INFORMATICOS"/>
    <x v="2"/>
    <n v="2"/>
    <n v="5000"/>
    <m/>
    <m/>
    <m/>
    <m/>
    <n v="30"/>
    <n v="30"/>
    <m/>
    <m/>
    <m/>
    <m/>
    <m/>
    <m/>
    <n v="20000"/>
    <s v=" -   "/>
    <s v=" -   "/>
    <s v=" -   "/>
    <s v=" -   "/>
    <n v="10000"/>
    <n v="10000"/>
    <s v=" -   "/>
    <s v=" -   "/>
    <s v=" -   "/>
    <s v=" -   "/>
    <s v=" -   "/>
    <s v=" -   "/>
    <n v="2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ESPECIALISTA DE OPERACIONES INFORMATICAS"/>
    <x v="2"/>
    <n v="1"/>
    <n v="8000"/>
    <m/>
    <m/>
    <m/>
    <m/>
    <n v="30"/>
    <n v="30"/>
    <m/>
    <m/>
    <m/>
    <m/>
    <m/>
    <m/>
    <n v="16000"/>
    <s v=" -   "/>
    <s v=" -   "/>
    <s v=" -   "/>
    <s v=" -   "/>
    <n v="8000"/>
    <n v="8000"/>
    <s v=" -   "/>
    <s v=" -   "/>
    <s v=" -   "/>
    <s v=" -   "/>
    <s v=" -   "/>
    <s v=" -   "/>
    <n v="1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SUPERVISOR DE OPERACIONES Y DEL CENTRO DE SOPORTE INFORMATICO"/>
    <x v="2"/>
    <n v="3"/>
    <n v="7000"/>
    <m/>
    <m/>
    <m/>
    <m/>
    <n v="30"/>
    <n v="30"/>
    <m/>
    <m/>
    <m/>
    <m/>
    <m/>
    <m/>
    <n v="42000"/>
    <s v=" -   "/>
    <s v=" -   "/>
    <s v=" -   "/>
    <s v=" -   "/>
    <n v="21000"/>
    <n v="21000"/>
    <s v=" -   "/>
    <s v=" -   "/>
    <s v=" -   "/>
    <s v=" -   "/>
    <s v=" -   "/>
    <s v=" -   "/>
    <n v="42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OPERADOR DEL CENTRO DE SOPORTE INFORMATICO"/>
    <x v="2"/>
    <n v="6"/>
    <n v="5000"/>
    <m/>
    <m/>
    <m/>
    <m/>
    <n v="30"/>
    <n v="30"/>
    <m/>
    <m/>
    <m/>
    <m/>
    <m/>
    <m/>
    <n v="60000"/>
    <s v=" -   "/>
    <s v=" -   "/>
    <s v=" -   "/>
    <s v=" -   "/>
    <n v="30000"/>
    <n v="30000"/>
    <s v=" -   "/>
    <s v=" -   "/>
    <s v=" -   "/>
    <s v=" -   "/>
    <s v=" -   "/>
    <s v=" -   "/>
    <n v="6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COORDINADOR DEL CENTRO DE SERVICIOS ELECTORAL"/>
    <x v="2"/>
    <n v="16"/>
    <n v="5500"/>
    <m/>
    <m/>
    <m/>
    <m/>
    <n v="30"/>
    <n v="30"/>
    <m/>
    <m/>
    <m/>
    <m/>
    <m/>
    <m/>
    <n v="176000"/>
    <s v=" -   "/>
    <s v=" -   "/>
    <s v=" -   "/>
    <s v=" -   "/>
    <n v="88000"/>
    <n v="88000"/>
    <s v=" -   "/>
    <s v=" -   "/>
    <s v=" -   "/>
    <s v=" -   "/>
    <s v=" -   "/>
    <s v=" -   "/>
    <n v="176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ASISTENTE OPERATIVO"/>
    <x v="2"/>
    <n v="1"/>
    <n v="5000"/>
    <m/>
    <m/>
    <m/>
    <m/>
    <n v="30"/>
    <n v="30"/>
    <m/>
    <m/>
    <m/>
    <m/>
    <m/>
    <m/>
    <n v="10000"/>
    <s v=" -   "/>
    <s v=" -   "/>
    <s v=" -   "/>
    <s v=" -   "/>
    <n v="5000"/>
    <n v="5000"/>
    <s v=" -   "/>
    <s v=" -   "/>
    <s v=" -   "/>
    <s v=" -   "/>
    <s v=" -   "/>
    <s v=" -   "/>
    <n v="10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OPERADOR TECNICO DE TI"/>
    <x v="2"/>
    <n v="75"/>
    <n v="3000"/>
    <m/>
    <m/>
    <m/>
    <m/>
    <m/>
    <n v="30"/>
    <m/>
    <m/>
    <m/>
    <m/>
    <m/>
    <m/>
    <n v="225000"/>
    <s v=" -   "/>
    <s v=" -   "/>
    <s v=" -   "/>
    <s v=" -   "/>
    <s v=" -   "/>
    <n v="225000"/>
    <s v=" -   "/>
    <s v=" -   "/>
    <s v=" -   "/>
    <s v=" -   "/>
    <s v=" -   "/>
    <s v=" -   "/>
    <n v="225000"/>
    <x v="0"/>
    <s v="P1"/>
    <m/>
    <m/>
  </r>
  <r>
    <n v="2026"/>
    <n v="479"/>
    <s v="PROCESOS DE SOPORTE"/>
    <s v="GESTION DE LAS TECNOLOGIAS DE LA INFORMACION Y COMUNICACIONES "/>
    <n v="125"/>
    <n v="3000654"/>
    <n v="5005023"/>
    <n v="3"/>
    <n v="12"/>
    <n v="24"/>
    <n v="135560"/>
    <s v="2026EG 2026 (SEP)GITE GESTIÓN DE LA INFRAESTRUCTURA TECNOLÓGICA Y BASE DE DATOS "/>
    <x v="0"/>
    <x v="0"/>
    <m/>
    <s v="GITE"/>
    <s v="EG 2026 (SEP)"/>
    <s v="2.3"/>
    <s v="2.3.2.9.1.1"/>
    <m/>
    <s v="OPERADOR TECNICO DE TI 2"/>
    <x v="2"/>
    <n v="72"/>
    <n v="3000"/>
    <m/>
    <m/>
    <m/>
    <m/>
    <m/>
    <n v="30"/>
    <m/>
    <m/>
    <m/>
    <m/>
    <m/>
    <m/>
    <n v="216000"/>
    <s v=" -   "/>
    <s v=" -   "/>
    <s v=" -   "/>
    <s v=" -   "/>
    <s v=" -   "/>
    <n v="216000"/>
    <s v=" -   "/>
    <s v=" -   "/>
    <s v=" -   "/>
    <s v=" -   "/>
    <s v=" -   "/>
    <s v=" -   "/>
    <n v="216000"/>
    <x v="0"/>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EN GESTION DE PROCESOS Y SERVICIOS DE INNOVACION"/>
    <x v="2"/>
    <n v="1"/>
    <n v="7000"/>
    <m/>
    <m/>
    <m/>
    <m/>
    <n v="30"/>
    <n v="30"/>
    <m/>
    <m/>
    <m/>
    <m/>
    <m/>
    <m/>
    <n v="14000"/>
    <s v=" -   "/>
    <s v=" -   "/>
    <s v=" -   "/>
    <s v=" -   "/>
    <n v="7000"/>
    <n v="7000"/>
    <s v=" -   "/>
    <s v=" -   "/>
    <s v=" -   "/>
    <s v=" -   "/>
    <s v=" -   "/>
    <s v=" -   "/>
    <n v="14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CERTIFICACIÓN DIGITAL Y FIRMA ELECTRONICA CUALIFICADA"/>
    <x v="2"/>
    <n v="1"/>
    <n v="10000"/>
    <m/>
    <m/>
    <m/>
    <m/>
    <n v="30"/>
    <n v="30"/>
    <m/>
    <m/>
    <m/>
    <m/>
    <m/>
    <m/>
    <n v="20000"/>
    <s v=" -   "/>
    <s v=" -   "/>
    <s v=" -   "/>
    <s v=" -   "/>
    <n v="10000"/>
    <n v="10000"/>
    <s v=" -   "/>
    <s v=" -   "/>
    <s v=" -   "/>
    <s v=" -   "/>
    <s v=" -   "/>
    <s v=" -   "/>
    <n v="2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GESTIÓN DE PROYECTOS Y SERVICIOS DE CERTIFICACIÓN DIGITAL"/>
    <x v="2"/>
    <n v="1"/>
    <n v="10000"/>
    <m/>
    <m/>
    <m/>
    <m/>
    <n v="30"/>
    <n v="30"/>
    <m/>
    <m/>
    <m/>
    <m/>
    <m/>
    <m/>
    <n v="20000"/>
    <s v=" -   "/>
    <s v=" -   "/>
    <s v=" -   "/>
    <s v=" -   "/>
    <n v="10000"/>
    <n v="10000"/>
    <s v=" -   "/>
    <s v=" -   "/>
    <s v=" -   "/>
    <s v=" -   "/>
    <s v=" -   "/>
    <s v=" -   "/>
    <n v="2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PROCESOS Y SERVICIOS DE CERTIFICACIÓN DIGITAL"/>
    <x v="2"/>
    <n v="1"/>
    <n v="9000"/>
    <m/>
    <m/>
    <m/>
    <m/>
    <n v="30"/>
    <n v="30"/>
    <m/>
    <m/>
    <m/>
    <m/>
    <m/>
    <m/>
    <n v="18000"/>
    <s v=" -   "/>
    <s v=" -   "/>
    <s v=" -   "/>
    <s v=" -   "/>
    <n v="9000"/>
    <n v="9000"/>
    <s v=" -   "/>
    <s v=" -   "/>
    <s v=" -   "/>
    <s v=" -   "/>
    <s v=" -   "/>
    <s v=" -   "/>
    <n v="18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SERVICIOS DE CERTIFICACIÓN DIGITAL"/>
    <x v="2"/>
    <n v="1"/>
    <n v="8000"/>
    <m/>
    <m/>
    <m/>
    <m/>
    <n v="30"/>
    <n v="30"/>
    <m/>
    <m/>
    <m/>
    <m/>
    <m/>
    <m/>
    <n v="16000"/>
    <s v=" -   "/>
    <s v=" -   "/>
    <s v=" -   "/>
    <s v=" -   "/>
    <n v="8000"/>
    <n v="8000"/>
    <s v=" -   "/>
    <s v=" -   "/>
    <s v=" -   "/>
    <s v=" -   "/>
    <s v=" -   "/>
    <s v=" -   "/>
    <n v="16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OPERADOR TECNICO PKI"/>
    <x v="2"/>
    <n v="1"/>
    <n v="4500"/>
    <m/>
    <m/>
    <m/>
    <m/>
    <n v="30"/>
    <n v="30"/>
    <m/>
    <m/>
    <m/>
    <m/>
    <m/>
    <m/>
    <n v="9000"/>
    <s v=" -   "/>
    <s v=" -   "/>
    <s v=" -   "/>
    <s v=" -   "/>
    <n v="4500"/>
    <n v="4500"/>
    <s v=" -   "/>
    <s v=" -   "/>
    <s v=" -   "/>
    <s v=" -   "/>
    <s v=" -   "/>
    <s v=" -   "/>
    <n v="9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OPERADOR TECNICO PKI"/>
    <x v="2"/>
    <n v="1"/>
    <n v="4500"/>
    <m/>
    <m/>
    <m/>
    <m/>
    <n v="30"/>
    <n v="30"/>
    <m/>
    <m/>
    <m/>
    <m/>
    <m/>
    <m/>
    <n v="9000"/>
    <s v=" -   "/>
    <s v=" -   "/>
    <s v=" -   "/>
    <s v=" -   "/>
    <n v="4500"/>
    <n v="4500"/>
    <s v=" -   "/>
    <s v=" -   "/>
    <s v=" -   "/>
    <s v=" -   "/>
    <s v=" -   "/>
    <s v=" -   "/>
    <n v="9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GESTIÓN DE SERVICIOS PKI"/>
    <x v="2"/>
    <n v="1"/>
    <n v="9000"/>
    <m/>
    <m/>
    <m/>
    <m/>
    <n v="30"/>
    <n v="30"/>
    <m/>
    <m/>
    <m/>
    <m/>
    <m/>
    <m/>
    <n v="18000"/>
    <s v=" -   "/>
    <s v=" -   "/>
    <s v=" -   "/>
    <s v=" -   "/>
    <n v="9000"/>
    <n v="9000"/>
    <s v=" -   "/>
    <s v=" -   "/>
    <s v=" -   "/>
    <s v=" -   "/>
    <s v=" -   "/>
    <s v=" -   "/>
    <n v="18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SENIOR EN GESTIÓN DE SERVICIOS PKI"/>
    <x v="2"/>
    <n v="1"/>
    <n v="8000"/>
    <m/>
    <m/>
    <m/>
    <m/>
    <n v="30"/>
    <n v="30"/>
    <m/>
    <m/>
    <m/>
    <m/>
    <m/>
    <m/>
    <n v="16000"/>
    <s v=" -   "/>
    <s v=" -   "/>
    <s v=" -   "/>
    <s v=" -   "/>
    <n v="8000"/>
    <n v="8000"/>
    <s v=" -   "/>
    <s v=" -   "/>
    <s v=" -   "/>
    <s v=" -   "/>
    <s v=" -   "/>
    <s v=" -   "/>
    <n v="16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ADMINISTRATIVO DE GOBIERNO DIGITAL"/>
    <x v="2"/>
    <n v="1"/>
    <n v="6000"/>
    <m/>
    <m/>
    <m/>
    <m/>
    <n v="30"/>
    <n v="30"/>
    <m/>
    <m/>
    <m/>
    <m/>
    <m/>
    <m/>
    <n v="12000"/>
    <s v=" -   "/>
    <s v=" -   "/>
    <s v=" -   "/>
    <s v=" -   "/>
    <n v="6000"/>
    <n v="6000"/>
    <s v=" -   "/>
    <s v=" -   "/>
    <s v=" -   "/>
    <s v=" -   "/>
    <s v=" -   "/>
    <s v=" -   "/>
    <n v="12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EN SERVICIOS DE CERTIFICACIÓN DIGITAL"/>
    <x v="2"/>
    <n v="1"/>
    <n v="6000"/>
    <m/>
    <m/>
    <m/>
    <m/>
    <n v="30"/>
    <n v="30"/>
    <m/>
    <m/>
    <m/>
    <m/>
    <m/>
    <m/>
    <n v="12000"/>
    <s v=" -   "/>
    <s v=" -   "/>
    <s v=" -   "/>
    <s v=" -   "/>
    <n v="6000"/>
    <n v="6000"/>
    <s v=" -   "/>
    <s v=" -   "/>
    <s v=" -   "/>
    <s v=" -   "/>
    <s v=" -   "/>
    <s v=" -   "/>
    <n v="12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ISEÑADOR UX/UI DE PROYECTOS DE INNOVACIÓN"/>
    <x v="2"/>
    <n v="1"/>
    <n v="9000"/>
    <m/>
    <m/>
    <m/>
    <m/>
    <n v="30"/>
    <n v="30"/>
    <m/>
    <m/>
    <m/>
    <m/>
    <m/>
    <m/>
    <n v="18000"/>
    <s v=" -   "/>
    <s v=" -   "/>
    <s v=" -   "/>
    <s v=" -   "/>
    <n v="9000"/>
    <n v="9000"/>
    <s v=" -   "/>
    <s v=" -   "/>
    <s v=" -   "/>
    <s v=" -   "/>
    <s v=" -   "/>
    <s v=" -   "/>
    <n v="1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ASEGURAMIENTO DE CONTROL DE CALIDAD DE PROYECTOS DE INNOVACION"/>
    <x v="2"/>
    <n v="3"/>
    <n v="7500"/>
    <m/>
    <m/>
    <m/>
    <m/>
    <n v="30"/>
    <n v="30"/>
    <m/>
    <m/>
    <m/>
    <m/>
    <m/>
    <m/>
    <n v="45000"/>
    <s v=" -   "/>
    <s v=" -   "/>
    <s v=" -   "/>
    <s v=" -   "/>
    <n v="22500"/>
    <n v="22500"/>
    <s v=" -   "/>
    <s v=" -   "/>
    <s v=" -   "/>
    <s v=" -   "/>
    <s v=" -   "/>
    <s v=" -   "/>
    <n v="45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DE PRUEBAS DE SEGURIDAD Y CODIGO ESTATICO DE PROYECTOS DE INNOVACIÓN"/>
    <x v="2"/>
    <n v="2"/>
    <n v="7500"/>
    <m/>
    <m/>
    <m/>
    <m/>
    <n v="30"/>
    <n v="30"/>
    <m/>
    <m/>
    <m/>
    <m/>
    <m/>
    <m/>
    <n v="30000"/>
    <s v=" -   "/>
    <s v=" -   "/>
    <s v=" -   "/>
    <s v=" -   "/>
    <n v="15000"/>
    <n v="15000"/>
    <s v=" -   "/>
    <s v=" -   "/>
    <s v=" -   "/>
    <s v=" -   "/>
    <s v=" -   "/>
    <s v=" -   "/>
    <n v="3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DE PRUEBAS DE CARGA, ESTRES Y AUTOMATIZACION DE PROYECTOS DE INNOVACIÓN"/>
    <x v="2"/>
    <n v="2"/>
    <n v="7500"/>
    <m/>
    <m/>
    <m/>
    <m/>
    <n v="30"/>
    <n v="30"/>
    <m/>
    <m/>
    <m/>
    <m/>
    <m/>
    <m/>
    <n v="30000"/>
    <s v=" -   "/>
    <s v=" -   "/>
    <s v=" -   "/>
    <s v=" -   "/>
    <n v="15000"/>
    <n v="15000"/>
    <s v=" -   "/>
    <s v=" -   "/>
    <s v=" -   "/>
    <s v=" -   "/>
    <s v=" -   "/>
    <s v=" -   "/>
    <n v="3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CONTROL DE CALIDAD DE PROYECTOS DE INNOVACION"/>
    <x v="2"/>
    <n v="9"/>
    <n v="6500"/>
    <m/>
    <m/>
    <m/>
    <m/>
    <n v="30"/>
    <n v="30"/>
    <m/>
    <m/>
    <m/>
    <m/>
    <m/>
    <m/>
    <n v="117000"/>
    <s v=" -   "/>
    <s v=" -   "/>
    <s v=" -   "/>
    <s v=" -   "/>
    <n v="58500"/>
    <n v="58500"/>
    <s v=" -   "/>
    <s v=" -   "/>
    <s v=" -   "/>
    <s v=" -   "/>
    <s v=" -   "/>
    <s v=" -   "/>
    <n v="117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QA DE PROYECTOS DE INNOVACIÓN"/>
    <x v="2"/>
    <n v="2"/>
    <n v="4500"/>
    <m/>
    <m/>
    <m/>
    <m/>
    <n v="30"/>
    <n v="30"/>
    <m/>
    <m/>
    <m/>
    <m/>
    <m/>
    <m/>
    <n v="18000"/>
    <s v=" -   "/>
    <s v=" -   "/>
    <s v=" -   "/>
    <s v=" -   "/>
    <n v="9000"/>
    <n v="9000"/>
    <s v=" -   "/>
    <s v=" -   "/>
    <s v=" -   "/>
    <s v=" -   "/>
    <s v=" -   "/>
    <s v=" -   "/>
    <n v="18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QA DE PROYECTOS DE INNOVACIÓN"/>
    <x v="2"/>
    <n v="1"/>
    <n v="4500"/>
    <m/>
    <m/>
    <m/>
    <m/>
    <n v="30"/>
    <n v="30"/>
    <m/>
    <m/>
    <m/>
    <m/>
    <m/>
    <m/>
    <n v="9000"/>
    <s v=" -   "/>
    <s v=" -   "/>
    <s v=" -   "/>
    <s v=" -   "/>
    <n v="4500"/>
    <n v="4500"/>
    <s v=" -   "/>
    <s v=" -   "/>
    <s v=" -   "/>
    <s v=" -   "/>
    <s v=" -   "/>
    <s v=" -   "/>
    <n v="9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COORDINADOR DE CONTROL DE CALIDAD DE SOFTWARE"/>
    <x v="2"/>
    <n v="4"/>
    <n v="9000"/>
    <m/>
    <m/>
    <m/>
    <m/>
    <n v="30"/>
    <n v="30"/>
    <m/>
    <m/>
    <m/>
    <m/>
    <m/>
    <m/>
    <n v="72000"/>
    <s v=" -   "/>
    <s v=" -   "/>
    <s v=" -   "/>
    <s v=" -   "/>
    <n v="36000"/>
    <n v="36000"/>
    <s v=" -   "/>
    <s v=" -   "/>
    <s v=" -   "/>
    <s v=" -   "/>
    <s v=" -   "/>
    <s v=" -   "/>
    <n v="72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ADMINISTRATIVO DE CONTROL DE CALIDAD DE SOFTWARE"/>
    <x v="2"/>
    <n v="1"/>
    <n v="5000"/>
    <m/>
    <m/>
    <m/>
    <m/>
    <n v="30"/>
    <n v="30"/>
    <m/>
    <m/>
    <m/>
    <m/>
    <m/>
    <m/>
    <n v="10000"/>
    <s v=" -   "/>
    <s v=" -   "/>
    <s v=" -   "/>
    <s v=" -   "/>
    <n v="5000"/>
    <n v="5000"/>
    <s v=" -   "/>
    <s v=" -   "/>
    <s v=" -   "/>
    <s v=" -   "/>
    <s v=" -   "/>
    <s v=" -   "/>
    <n v="1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EN PRUEBAS AUTOMATIZADAS QA"/>
    <x v="2"/>
    <n v="1"/>
    <n v="7500"/>
    <m/>
    <m/>
    <m/>
    <m/>
    <n v="30"/>
    <n v="30"/>
    <m/>
    <m/>
    <m/>
    <m/>
    <m/>
    <m/>
    <n v="15000"/>
    <s v=" -   "/>
    <s v=" -   "/>
    <s v=" -   "/>
    <s v=" -   "/>
    <n v="7500"/>
    <n v="7500"/>
    <s v=" -   "/>
    <s v=" -   "/>
    <s v=" -   "/>
    <s v=" -   "/>
    <s v=" -   "/>
    <s v=" -   "/>
    <n v="15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EN PRUEBAS AUTOMATIZADAS QA"/>
    <x v="2"/>
    <n v="2"/>
    <n v="7500"/>
    <m/>
    <m/>
    <m/>
    <m/>
    <n v="30"/>
    <n v="30"/>
    <m/>
    <m/>
    <m/>
    <m/>
    <m/>
    <m/>
    <n v="30000"/>
    <s v=" -   "/>
    <s v=" -   "/>
    <s v=" -   "/>
    <s v=" -   "/>
    <n v="15000"/>
    <n v="15000"/>
    <s v=" -   "/>
    <s v=" -   "/>
    <s v=" -   "/>
    <s v=" -   "/>
    <s v=" -   "/>
    <s v=" -   "/>
    <n v="3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SEGURIDAD DE SOFTWARE"/>
    <x v="2"/>
    <n v="1"/>
    <n v="7500"/>
    <m/>
    <m/>
    <m/>
    <m/>
    <n v="30"/>
    <n v="30"/>
    <m/>
    <m/>
    <m/>
    <m/>
    <m/>
    <m/>
    <n v="15000"/>
    <s v=" -   "/>
    <s v=" -   "/>
    <s v=" -   "/>
    <s v=" -   "/>
    <n v="7500"/>
    <n v="7500"/>
    <s v=" -   "/>
    <s v=" -   "/>
    <s v=" -   "/>
    <s v=" -   "/>
    <s v=" -   "/>
    <s v=" -   "/>
    <n v="15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SEGURIDAD DE SOFTWARE"/>
    <x v="2"/>
    <n v="2"/>
    <n v="7500"/>
    <m/>
    <m/>
    <m/>
    <m/>
    <n v="30"/>
    <n v="30"/>
    <m/>
    <m/>
    <m/>
    <m/>
    <m/>
    <m/>
    <n v="30000"/>
    <s v=" -   "/>
    <s v=" -   "/>
    <s v=" -   "/>
    <s v=" -   "/>
    <n v="15000"/>
    <n v="15000"/>
    <s v=" -   "/>
    <s v=" -   "/>
    <s v=" -   "/>
    <s v=" -   "/>
    <s v=" -   "/>
    <s v=" -   "/>
    <n v="3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CODIGO ESTÁTICO"/>
    <x v="2"/>
    <n v="2"/>
    <n v="7500"/>
    <m/>
    <m/>
    <m/>
    <m/>
    <n v="30"/>
    <n v="30"/>
    <m/>
    <m/>
    <m/>
    <m/>
    <m/>
    <m/>
    <n v="30000"/>
    <s v=" -   "/>
    <s v=" -   "/>
    <s v=" -   "/>
    <s v=" -   "/>
    <n v="15000"/>
    <n v="15000"/>
    <s v=" -   "/>
    <s v=" -   "/>
    <s v=" -   "/>
    <s v=" -   "/>
    <s v=" -   "/>
    <s v=" -   "/>
    <n v="3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CODIGO ESTÁTICO"/>
    <x v="2"/>
    <n v="1"/>
    <n v="7500"/>
    <m/>
    <m/>
    <m/>
    <m/>
    <n v="30"/>
    <n v="30"/>
    <m/>
    <m/>
    <m/>
    <m/>
    <m/>
    <m/>
    <n v="15000"/>
    <s v=" -   "/>
    <s v=" -   "/>
    <s v=" -   "/>
    <s v=" -   "/>
    <n v="7500"/>
    <n v="7500"/>
    <s v=" -   "/>
    <s v=" -   "/>
    <s v=" -   "/>
    <s v=" -   "/>
    <s v=" -   "/>
    <s v=" -   "/>
    <n v="15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ASEGURAMIENTO DE CONTROL DE CALIDAD DE SOFTWARE"/>
    <x v="2"/>
    <n v="6"/>
    <n v="7500"/>
    <m/>
    <m/>
    <m/>
    <m/>
    <n v="30"/>
    <n v="30"/>
    <m/>
    <m/>
    <m/>
    <m/>
    <m/>
    <m/>
    <n v="90000"/>
    <s v=" -   "/>
    <s v=" -   "/>
    <s v=" -   "/>
    <s v=" -   "/>
    <n v="45000"/>
    <n v="45000"/>
    <s v=" -   "/>
    <s v=" -   "/>
    <s v=" -   "/>
    <s v=" -   "/>
    <s v=" -   "/>
    <s v=" -   "/>
    <n v="9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ASEGURAMIENTO DE CONTROL DE CALIDAD DE SOFTWARE"/>
    <x v="2"/>
    <n v="10"/>
    <n v="7500"/>
    <m/>
    <m/>
    <m/>
    <m/>
    <n v="30"/>
    <n v="30"/>
    <m/>
    <m/>
    <m/>
    <m/>
    <m/>
    <m/>
    <n v="150000"/>
    <s v=" -   "/>
    <s v=" -   "/>
    <s v=" -   "/>
    <s v=" -   "/>
    <n v="75000"/>
    <n v="75000"/>
    <s v=" -   "/>
    <s v=" -   "/>
    <s v=" -   "/>
    <s v=" -   "/>
    <s v=" -   "/>
    <s v=" -   "/>
    <n v="150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CONTROL DE CALIDAD DE SOFTWARE"/>
    <x v="2"/>
    <n v="5"/>
    <n v="6500"/>
    <m/>
    <m/>
    <m/>
    <m/>
    <n v="30"/>
    <n v="30"/>
    <m/>
    <m/>
    <m/>
    <m/>
    <m/>
    <m/>
    <n v="65000"/>
    <s v=" -   "/>
    <s v=" -   "/>
    <s v=" -   "/>
    <s v=" -   "/>
    <n v="32500"/>
    <n v="32500"/>
    <s v=" -   "/>
    <s v=" -   "/>
    <s v=" -   "/>
    <s v=" -   "/>
    <s v=" -   "/>
    <s v=" -   "/>
    <n v="65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CONTROL DE CALIDAD DE SOFTWARE"/>
    <x v="2"/>
    <n v="8"/>
    <n v="6500"/>
    <m/>
    <m/>
    <m/>
    <m/>
    <n v="30"/>
    <n v="30"/>
    <m/>
    <m/>
    <m/>
    <m/>
    <m/>
    <m/>
    <n v="104000"/>
    <s v=" -   "/>
    <s v=" -   "/>
    <s v=" -   "/>
    <s v=" -   "/>
    <n v="52000"/>
    <n v="52000"/>
    <s v=" -   "/>
    <s v=" -   "/>
    <s v=" -   "/>
    <s v=" -   "/>
    <s v=" -   "/>
    <s v=" -   "/>
    <n v="104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QA"/>
    <x v="2"/>
    <n v="3"/>
    <n v="4500"/>
    <m/>
    <m/>
    <m/>
    <m/>
    <n v="30"/>
    <n v="30"/>
    <m/>
    <m/>
    <m/>
    <m/>
    <m/>
    <m/>
    <n v="27000"/>
    <s v=" -   "/>
    <s v=" -   "/>
    <s v=" -   "/>
    <s v=" -   "/>
    <n v="13500"/>
    <n v="13500"/>
    <s v=" -   "/>
    <s v=" -   "/>
    <s v=" -   "/>
    <s v=" -   "/>
    <s v=" -   "/>
    <s v=" -   "/>
    <n v="27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PRUEBAS DE SEGURIDAD DE SOFTWARE"/>
    <x v="2"/>
    <n v="1"/>
    <n v="8000"/>
    <m/>
    <m/>
    <m/>
    <m/>
    <n v="30"/>
    <n v="30"/>
    <m/>
    <m/>
    <m/>
    <m/>
    <m/>
    <m/>
    <n v="16000"/>
    <s v=" -   "/>
    <s v=" -   "/>
    <s v=" -   "/>
    <s v=" -   "/>
    <n v="8000"/>
    <n v="8000"/>
    <s v=" -   "/>
    <s v=" -   "/>
    <s v=" -   "/>
    <s v=" -   "/>
    <s v=" -   "/>
    <s v=" -   "/>
    <n v="16000"/>
    <x v="1"/>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ASEGURAMIENTO DE CONTROL DE CALIDAD DE SOFTWARE 1"/>
    <x v="2"/>
    <n v="1"/>
    <n v="6500"/>
    <m/>
    <m/>
    <m/>
    <m/>
    <n v="30"/>
    <m/>
    <m/>
    <m/>
    <m/>
    <m/>
    <m/>
    <m/>
    <n v="6500"/>
    <s v=" -   "/>
    <s v=" -   "/>
    <s v=" -   "/>
    <s v=" -   "/>
    <n v="6500"/>
    <s v=" -   "/>
    <s v=" -   "/>
    <s v=" -   "/>
    <s v=" -   "/>
    <s v=" -   "/>
    <s v=" -   "/>
    <s v=" -   "/>
    <n v="6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ASEGURAMIENTO DE CONTROL DE CALIDAD DE SOFTWARE 1"/>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ASEGURAMIENTO DE CONTROL DE CALIDAD DE SOFTWARE 2"/>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BASE DE DATOS JUNIOR 3"/>
    <x v="2"/>
    <n v="1"/>
    <n v="3500"/>
    <m/>
    <m/>
    <m/>
    <m/>
    <n v="30"/>
    <m/>
    <m/>
    <m/>
    <m/>
    <m/>
    <m/>
    <m/>
    <n v="3500"/>
    <s v=" -   "/>
    <s v=" -   "/>
    <s v=" -   "/>
    <s v=" -   "/>
    <n v="3500"/>
    <s v=" -   "/>
    <s v=" -   "/>
    <s v=" -   "/>
    <s v=" -   "/>
    <s v=" -   "/>
    <s v=" -   "/>
    <s v=" -   "/>
    <n v="3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BASE DE DATOS JUNIOR 3"/>
    <x v="2"/>
    <n v="1"/>
    <n v="3500"/>
    <m/>
    <m/>
    <m/>
    <m/>
    <m/>
    <n v="30"/>
    <m/>
    <m/>
    <m/>
    <m/>
    <m/>
    <m/>
    <n v="3500"/>
    <s v=" -   "/>
    <s v=" -   "/>
    <s v=" -   "/>
    <s v=" -   "/>
    <s v=" -   "/>
    <n v="3500"/>
    <s v=" -   "/>
    <s v=" -   "/>
    <s v=" -   "/>
    <s v=" -   "/>
    <s v=" -   "/>
    <s v=" -   "/>
    <n v="3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DE BASE DE DATOS"/>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CIENCIA DE DATOS"/>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DATOS 1"/>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1"/>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2"/>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3"/>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4"/>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5"/>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DATOS 6"/>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6"/>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7"/>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DATOS BI 1"/>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BI 1"/>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SENIOR 1"/>
    <x v="2"/>
    <n v="1"/>
    <n v="6500"/>
    <m/>
    <m/>
    <m/>
    <m/>
    <n v="30"/>
    <n v="30"/>
    <m/>
    <m/>
    <m/>
    <m/>
    <m/>
    <m/>
    <n v="13000"/>
    <s v=" -   "/>
    <s v=" -   "/>
    <s v=" -   "/>
    <s v=" -   "/>
    <n v="6500"/>
    <n v="6500"/>
    <s v=" -   "/>
    <s v=" -   "/>
    <s v=" -   "/>
    <s v=" -   "/>
    <s v=" -   "/>
    <s v=" -   "/>
    <n v="1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BASE DE DATOS SENIOR 1"/>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SENIOR 2"/>
    <x v="2"/>
    <n v="1"/>
    <n v="6500"/>
    <m/>
    <m/>
    <m/>
    <m/>
    <n v="30"/>
    <n v="30"/>
    <m/>
    <m/>
    <m/>
    <m/>
    <m/>
    <m/>
    <n v="13000"/>
    <s v=" -   "/>
    <s v=" -   "/>
    <s v=" -   "/>
    <s v=" -   "/>
    <n v="6500"/>
    <n v="6500"/>
    <s v=" -   "/>
    <s v=" -   "/>
    <s v=" -   "/>
    <s v=" -   "/>
    <s v=" -   "/>
    <s v=" -   "/>
    <n v="1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SENIOR 3"/>
    <x v="2"/>
    <n v="1"/>
    <n v="6500"/>
    <m/>
    <m/>
    <m/>
    <m/>
    <n v="30"/>
    <n v="30"/>
    <m/>
    <m/>
    <m/>
    <m/>
    <m/>
    <m/>
    <n v="13000"/>
    <s v=" -   "/>
    <s v=" -   "/>
    <s v=" -   "/>
    <s v=" -   "/>
    <n v="6500"/>
    <n v="6500"/>
    <s v=" -   "/>
    <s v=" -   "/>
    <s v=" -   "/>
    <s v=" -   "/>
    <s v=" -   "/>
    <s v=" -   "/>
    <n v="13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BASE DE DATOS SENIOR 2"/>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BASE DE DATOS SENIOR 2"/>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DMINISTRADOR DE BASE DE DATOS SENIOR"/>
    <x v="2"/>
    <n v="1"/>
    <n v="7500"/>
    <m/>
    <m/>
    <m/>
    <m/>
    <n v="30"/>
    <m/>
    <m/>
    <m/>
    <m/>
    <m/>
    <m/>
    <m/>
    <n v="7500"/>
    <s v=" -   "/>
    <s v=" -   "/>
    <s v=" -   "/>
    <s v=" -   "/>
    <n v="7500"/>
    <s v=" -   "/>
    <s v=" -   "/>
    <s v=" -   "/>
    <s v=" -   "/>
    <s v=" -   "/>
    <s v=" -   "/>
    <s v=" -   "/>
    <n v="7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DMINISTRADOR DE BASE DE DATOS SENIOR"/>
    <x v="2"/>
    <n v="1"/>
    <n v="7500"/>
    <m/>
    <m/>
    <m/>
    <m/>
    <m/>
    <n v="30"/>
    <m/>
    <m/>
    <m/>
    <m/>
    <m/>
    <m/>
    <n v="7500"/>
    <s v=" -   "/>
    <s v=" -   "/>
    <s v=" -   "/>
    <s v=" -   "/>
    <s v=" -   "/>
    <n v="7500"/>
    <s v=" -   "/>
    <s v=" -   "/>
    <s v=" -   "/>
    <s v=" -   "/>
    <s v=" -   "/>
    <s v=" -   "/>
    <n v="7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DESARROLLO DE SOFTWARE 1"/>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DESARROLLO DE SOFTWARE 2"/>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2"/>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DESARROLLO DE SOFTWARE 3"/>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3"/>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DESARROLLO DE SOFTWARE 4"/>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4"/>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5"/>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6"/>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7"/>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8"/>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9"/>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DESARROLLO DE SOFTWARE 10"/>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0"/>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1"/>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2"/>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3"/>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4"/>
    <x v="2"/>
    <n v="3"/>
    <n v="5500"/>
    <m/>
    <m/>
    <m/>
    <m/>
    <n v="30"/>
    <n v="30"/>
    <m/>
    <m/>
    <m/>
    <m/>
    <m/>
    <m/>
    <n v="33000"/>
    <s v=" -   "/>
    <s v=" -   "/>
    <s v=" -   "/>
    <s v=" -   "/>
    <n v="16500"/>
    <n v="16500"/>
    <s v=" -   "/>
    <s v=" -   "/>
    <s v=" -   "/>
    <s v=" -   "/>
    <s v=" -   "/>
    <s v=" -   "/>
    <n v="3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5"/>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SENIOR 1"/>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COORDINADOR DE REQUERIMIENTOS DE PROYECTOS DE SISTEMAS"/>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SISTEMAS 1"/>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SISTEMAS 1"/>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1"/>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2"/>
    <x v="2"/>
    <n v="2"/>
    <n v="7000"/>
    <m/>
    <m/>
    <m/>
    <m/>
    <n v="30"/>
    <n v="30"/>
    <m/>
    <m/>
    <m/>
    <m/>
    <m/>
    <m/>
    <n v="28000"/>
    <s v=" -   "/>
    <s v=" -   "/>
    <s v=" -   "/>
    <s v=" -   "/>
    <n v="14000"/>
    <n v="14000"/>
    <s v=" -   "/>
    <s v=" -   "/>
    <s v=" -   "/>
    <s v=" -   "/>
    <s v=" -   "/>
    <s v=" -   "/>
    <n v="2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3"/>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FUNCIONAL SENIOR 4"/>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4"/>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FUNCIONAL SENIOR 5"/>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5"/>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FUNCIONAL SENIOR 6"/>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6"/>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7"/>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8"/>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9"/>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FUNCIONAL"/>
    <x v="2"/>
    <n v="1"/>
    <n v="7500"/>
    <m/>
    <m/>
    <m/>
    <m/>
    <n v="30"/>
    <n v="30"/>
    <m/>
    <m/>
    <m/>
    <m/>
    <m/>
    <m/>
    <n v="15000"/>
    <s v=" -   "/>
    <s v=" -   "/>
    <s v=" -   "/>
    <s v=" -   "/>
    <n v="7500"/>
    <n v="7500"/>
    <s v=" -   "/>
    <s v=" -   "/>
    <s v=" -   "/>
    <s v=" -   "/>
    <s v=" -   "/>
    <s v=" -   "/>
    <n v="15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FUNCIONAL SENIOR 1"/>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FUNCIONAL SENIOR 2"/>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PROGRAMADOR 1"/>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
    <x v="2"/>
    <n v="2"/>
    <n v="6000"/>
    <m/>
    <m/>
    <m/>
    <m/>
    <n v="30"/>
    <n v="30"/>
    <m/>
    <m/>
    <m/>
    <m/>
    <m/>
    <m/>
    <n v="24000"/>
    <s v=" -   "/>
    <s v=" -   "/>
    <s v=" -   "/>
    <s v=" -   "/>
    <n v="12000"/>
    <n v="12000"/>
    <s v=" -   "/>
    <s v=" -   "/>
    <s v=" -   "/>
    <s v=" -   "/>
    <s v=" -   "/>
    <s v=" -   "/>
    <n v="2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2"/>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2"/>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3"/>
    <x v="2"/>
    <n v="2"/>
    <n v="6000"/>
    <m/>
    <m/>
    <m/>
    <m/>
    <n v="30"/>
    <n v="30"/>
    <m/>
    <m/>
    <m/>
    <m/>
    <m/>
    <m/>
    <n v="24000"/>
    <s v=" -   "/>
    <s v=" -   "/>
    <s v=" -   "/>
    <s v=" -   "/>
    <n v="12000"/>
    <n v="12000"/>
    <s v=" -   "/>
    <s v=" -   "/>
    <s v=" -   "/>
    <s v=" -   "/>
    <s v=" -   "/>
    <s v=" -   "/>
    <n v="2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4"/>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5"/>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6"/>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7"/>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8"/>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8"/>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9"/>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10"/>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0"/>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1"/>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2"/>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3"/>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14"/>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4"/>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6"/>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7"/>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8"/>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1"/>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2"/>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2"/>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3"/>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3"/>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4"/>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4"/>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5"/>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9"/>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0"/>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1"/>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2"/>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3"/>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6"/>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17"/>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7"/>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18"/>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8"/>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19"/>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20"/>
    <x v="2"/>
    <n v="1"/>
    <n v="8000"/>
    <m/>
    <m/>
    <m/>
    <m/>
    <n v="30"/>
    <n v="30"/>
    <m/>
    <m/>
    <m/>
    <m/>
    <m/>
    <m/>
    <n v="16000"/>
    <s v=" -   "/>
    <s v=" -   "/>
    <s v=" -   "/>
    <s v=" -   "/>
    <n v="8000"/>
    <n v="8000"/>
    <s v=" -   "/>
    <s v=" -   "/>
    <s v=" -   "/>
    <s v=" -   "/>
    <s v=" -   "/>
    <s v=" -   "/>
    <n v="16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FULL STACK 21"/>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FULL STACK 21"/>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JUNIOR 1"/>
    <x v="2"/>
    <n v="1"/>
    <n v="3500"/>
    <m/>
    <m/>
    <m/>
    <m/>
    <n v="30"/>
    <m/>
    <m/>
    <m/>
    <m/>
    <m/>
    <m/>
    <m/>
    <n v="3500"/>
    <s v=" -   "/>
    <s v=" -   "/>
    <s v=" -   "/>
    <s v=" -   "/>
    <n v="3500"/>
    <s v=" -   "/>
    <s v=" -   "/>
    <s v=" -   "/>
    <s v=" -   "/>
    <s v=" -   "/>
    <s v=" -   "/>
    <s v=" -   "/>
    <n v="3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JUNIOR 1"/>
    <x v="2"/>
    <n v="1"/>
    <n v="3500"/>
    <m/>
    <m/>
    <m/>
    <m/>
    <m/>
    <n v="30"/>
    <m/>
    <m/>
    <m/>
    <m/>
    <m/>
    <m/>
    <n v="3500"/>
    <s v=" -   "/>
    <s v=" -   "/>
    <s v=" -   "/>
    <s v=" -   "/>
    <s v=" -   "/>
    <n v="3500"/>
    <s v=" -   "/>
    <s v=" -   "/>
    <s v=" -   "/>
    <s v=" -   "/>
    <s v=" -   "/>
    <s v=" -   "/>
    <n v="3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JUNIOR 2"/>
    <x v="2"/>
    <n v="1"/>
    <n v="3500"/>
    <m/>
    <m/>
    <m/>
    <m/>
    <n v="30"/>
    <n v="30"/>
    <m/>
    <m/>
    <m/>
    <m/>
    <m/>
    <m/>
    <n v="7000"/>
    <s v=" -   "/>
    <s v=" -   "/>
    <s v=" -   "/>
    <s v=" -   "/>
    <n v="3500"/>
    <n v="35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JUNIOR 3"/>
    <x v="2"/>
    <n v="1"/>
    <n v="3500"/>
    <m/>
    <m/>
    <m/>
    <m/>
    <n v="30"/>
    <n v="30"/>
    <m/>
    <m/>
    <m/>
    <m/>
    <m/>
    <m/>
    <n v="7000"/>
    <s v=" -   "/>
    <s v=" -   "/>
    <s v=" -   "/>
    <s v=" -   "/>
    <n v="3500"/>
    <n v="35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JUNIOR 4"/>
    <x v="2"/>
    <n v="1"/>
    <n v="3500"/>
    <m/>
    <m/>
    <m/>
    <m/>
    <n v="30"/>
    <n v="30"/>
    <m/>
    <m/>
    <m/>
    <m/>
    <m/>
    <m/>
    <n v="7000"/>
    <s v=" -   "/>
    <s v=" -   "/>
    <s v=" -   "/>
    <s v=" -   "/>
    <n v="3500"/>
    <n v="35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2"/>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3"/>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3"/>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4"/>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4"/>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5"/>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6"/>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7"/>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8"/>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9"/>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0"/>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1"/>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2"/>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2"/>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3"/>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3"/>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4"/>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4"/>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5"/>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5"/>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6"/>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6"/>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7"/>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8"/>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9"/>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0"/>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1"/>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2"/>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3"/>
    <x v="2"/>
    <n v="2"/>
    <n v="7000"/>
    <m/>
    <m/>
    <m/>
    <m/>
    <n v="30"/>
    <n v="30"/>
    <m/>
    <m/>
    <m/>
    <m/>
    <m/>
    <m/>
    <n v="28000"/>
    <s v=" -   "/>
    <s v=" -   "/>
    <s v=" -   "/>
    <s v=" -   "/>
    <n v="14000"/>
    <n v="14000"/>
    <s v=" -   "/>
    <s v=" -   "/>
    <s v=" -   "/>
    <s v=" -   "/>
    <s v=" -   "/>
    <s v=" -   "/>
    <n v="2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5"/>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7"/>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8"/>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29"/>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30"/>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30"/>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32"/>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34"/>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ISEÑADOR GRAFICO 1"/>
    <x v="2"/>
    <n v="1"/>
    <n v="5000"/>
    <m/>
    <m/>
    <m/>
    <m/>
    <n v="30"/>
    <m/>
    <m/>
    <m/>
    <m/>
    <m/>
    <m/>
    <m/>
    <n v="5000"/>
    <s v=" -   "/>
    <s v=" -   "/>
    <s v=" -   "/>
    <s v=" -   "/>
    <n v="5000"/>
    <s v=" -   "/>
    <s v=" -   "/>
    <s v=" -   "/>
    <s v=" -   "/>
    <s v=" -   "/>
    <s v=" -   "/>
    <s v=" -   "/>
    <n v="5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ISEÑADOR GRAFICO 1"/>
    <x v="2"/>
    <n v="1"/>
    <n v="5000"/>
    <m/>
    <m/>
    <m/>
    <m/>
    <m/>
    <n v="30"/>
    <m/>
    <m/>
    <m/>
    <m/>
    <m/>
    <m/>
    <n v="5000"/>
    <s v=" -   "/>
    <s v=" -   "/>
    <s v=" -   "/>
    <s v=" -   "/>
    <s v=" -   "/>
    <n v="5000"/>
    <s v=" -   "/>
    <s v=" -   "/>
    <s v=" -   "/>
    <s v=" -   "/>
    <s v=" -   "/>
    <s v=" -   "/>
    <n v="5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UX/UI"/>
    <x v="2"/>
    <n v="1"/>
    <n v="7500"/>
    <m/>
    <m/>
    <m/>
    <m/>
    <n v="30"/>
    <n v="30"/>
    <m/>
    <m/>
    <m/>
    <m/>
    <m/>
    <m/>
    <n v="15000"/>
    <s v=" -   "/>
    <s v=" -   "/>
    <s v=" -   "/>
    <s v=" -   "/>
    <n v="7500"/>
    <n v="7500"/>
    <s v=" -   "/>
    <s v=" -   "/>
    <s v=" -   "/>
    <s v=" -   "/>
    <s v=" -   "/>
    <s v=" -   "/>
    <n v="15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UX/UI 2"/>
    <x v="2"/>
    <n v="1"/>
    <n v="6500"/>
    <m/>
    <m/>
    <m/>
    <m/>
    <n v="30"/>
    <m/>
    <m/>
    <m/>
    <m/>
    <m/>
    <m/>
    <m/>
    <n v="6500"/>
    <s v=" -   "/>
    <s v=" -   "/>
    <s v=" -   "/>
    <s v=" -   "/>
    <n v="6500"/>
    <s v=" -   "/>
    <s v=" -   "/>
    <s v=" -   "/>
    <s v=" -   "/>
    <s v=" -   "/>
    <s v=" -   "/>
    <s v=" -   "/>
    <n v="6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UX/UI 2"/>
    <x v="2"/>
    <n v="1"/>
    <n v="6500"/>
    <m/>
    <m/>
    <m/>
    <m/>
    <m/>
    <n v="30"/>
    <m/>
    <m/>
    <m/>
    <m/>
    <m/>
    <m/>
    <n v="6500"/>
    <s v=" -   "/>
    <s v=" -   "/>
    <s v=" -   "/>
    <s v=" -   "/>
    <s v=" -   "/>
    <n v="6500"/>
    <s v=" -   "/>
    <s v=" -   "/>
    <s v=" -   "/>
    <s v=" -   "/>
    <s v=" -   "/>
    <s v=" -   "/>
    <n v="6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UX/UI 3"/>
    <x v="2"/>
    <n v="1"/>
    <n v="6500"/>
    <m/>
    <m/>
    <m/>
    <m/>
    <n v="30"/>
    <n v="30"/>
    <m/>
    <m/>
    <m/>
    <m/>
    <m/>
    <m/>
    <n v="13000"/>
    <s v=" -   "/>
    <s v=" -   "/>
    <s v=" -   "/>
    <s v=" -   "/>
    <n v="6500"/>
    <n v="6500"/>
    <s v=" -   "/>
    <s v=" -   "/>
    <s v=" -   "/>
    <s v=" -   "/>
    <s v=" -   "/>
    <s v=" -   "/>
    <n v="1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UX/UI 4"/>
    <x v="2"/>
    <n v="1"/>
    <n v="6500"/>
    <m/>
    <m/>
    <m/>
    <m/>
    <n v="30"/>
    <n v="30"/>
    <m/>
    <m/>
    <m/>
    <m/>
    <m/>
    <m/>
    <n v="13000"/>
    <s v=" -   "/>
    <s v=" -   "/>
    <s v=" -   "/>
    <s v=" -   "/>
    <n v="6500"/>
    <n v="6500"/>
    <s v=" -   "/>
    <s v=" -   "/>
    <s v=" -   "/>
    <s v=" -   "/>
    <s v=" -   "/>
    <s v=" -   "/>
    <n v="1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ISEÑADOR MAQUETADOR 1"/>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ISEÑADOR MAQUETADOR 2"/>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ISEÑADOR MAQUETADOR 3"/>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ISEÑADOR MAQUETADOR 4"/>
    <x v="2"/>
    <n v="1"/>
    <n v="6000"/>
    <m/>
    <m/>
    <m/>
    <m/>
    <n v="30"/>
    <n v="30"/>
    <m/>
    <m/>
    <m/>
    <m/>
    <m/>
    <m/>
    <n v="12000"/>
    <s v=" -   "/>
    <s v=" -   "/>
    <s v=" -   "/>
    <s v=" -   "/>
    <n v="6000"/>
    <n v="6000"/>
    <s v=" -   "/>
    <s v=" -   "/>
    <s v=" -   "/>
    <s v=" -   "/>
    <s v=" -   "/>
    <s v=" -   "/>
    <n v="12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RQUITECTO DE DATOS EN LA NUBE"/>
    <x v="2"/>
    <n v="1"/>
    <n v="10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RQUITECTO DE SEGURIDAD EN LA NUBE"/>
    <x v="2"/>
    <n v="1"/>
    <n v="10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RQUITECTO DE SOLUCIONES EN LA NUBE"/>
    <x v="2"/>
    <n v="1"/>
    <n v="10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RQUITECTO DE SOFTWARE 1"/>
    <x v="2"/>
    <n v="1"/>
    <n v="9000"/>
    <m/>
    <m/>
    <m/>
    <m/>
    <n v="30"/>
    <m/>
    <m/>
    <m/>
    <m/>
    <m/>
    <m/>
    <m/>
    <n v="9000"/>
    <s v=" -   "/>
    <s v=" -   "/>
    <s v=" -   "/>
    <s v=" -   "/>
    <n v="9000"/>
    <s v=" -   "/>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RQUITECTO DE SOFTWARE 1"/>
    <x v="2"/>
    <n v="1"/>
    <n v="9000"/>
    <m/>
    <m/>
    <m/>
    <m/>
    <m/>
    <n v="30"/>
    <m/>
    <m/>
    <m/>
    <m/>
    <m/>
    <m/>
    <n v="9000"/>
    <s v=" -   "/>
    <s v=" -   "/>
    <s v=" -   "/>
    <s v=" -   "/>
    <s v=" -   "/>
    <n v="90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SISTENTE DE PROYECTOS DE SOFTWARE 1"/>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SISTENTE TECNICO INFORMATICO"/>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ADMINISTRATIVO DE PROYECTOS"/>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SISTENTE TECNICO DE GESTION DE PROYECTOS"/>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SISTENTE DE SISTEMAS DE INFORMACION"/>
    <x v="2"/>
    <n v="1"/>
    <n v="5500"/>
    <m/>
    <m/>
    <m/>
    <m/>
    <n v="30"/>
    <n v="30"/>
    <m/>
    <m/>
    <m/>
    <m/>
    <m/>
    <m/>
    <n v="11000"/>
    <s v=" -   "/>
    <s v=" -   "/>
    <s v=" -   "/>
    <s v=" -   "/>
    <n v="5500"/>
    <n v="5500"/>
    <s v=" -   "/>
    <s v=" -   "/>
    <s v=" -   "/>
    <s v=" -   "/>
    <s v=" -   "/>
    <s v=" -   "/>
    <n v="11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OYECTOS DE TI"/>
    <x v="2"/>
    <n v="1"/>
    <n v="6500"/>
    <m/>
    <m/>
    <m/>
    <m/>
    <n v="30"/>
    <m/>
    <m/>
    <m/>
    <m/>
    <m/>
    <m/>
    <m/>
    <n v="6500"/>
    <s v=" -   "/>
    <s v=" -   "/>
    <s v=" -   "/>
    <s v=" -   "/>
    <n v="6500"/>
    <s v=" -   "/>
    <s v=" -   "/>
    <s v=" -   "/>
    <s v=" -   "/>
    <s v=" -   "/>
    <s v=" -   "/>
    <s v=" -   "/>
    <n v="6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OYECTOS DE TI"/>
    <x v="2"/>
    <n v="1"/>
    <n v="6500"/>
    <m/>
    <m/>
    <m/>
    <m/>
    <m/>
    <n v="30"/>
    <m/>
    <m/>
    <m/>
    <m/>
    <m/>
    <m/>
    <n v="6500"/>
    <s v=" -   "/>
    <s v=" -   "/>
    <s v=" -   "/>
    <s v=" -   "/>
    <s v=" -   "/>
    <n v="6500"/>
    <s v=" -   "/>
    <s v=" -   "/>
    <s v=" -   "/>
    <s v=" -   "/>
    <s v=" -   "/>
    <s v=" -   "/>
    <n v="6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PROYECTOS TI 1"/>
    <x v="2"/>
    <n v="1"/>
    <n v="9000"/>
    <m/>
    <m/>
    <m/>
    <m/>
    <n v="30"/>
    <n v="30"/>
    <m/>
    <m/>
    <m/>
    <m/>
    <m/>
    <m/>
    <n v="18000"/>
    <s v=" -   "/>
    <s v=" -   "/>
    <s v=" -   "/>
    <s v=" -   "/>
    <n v="9000"/>
    <n v="9000"/>
    <s v=" -   "/>
    <s v=" -   "/>
    <s v=" -   "/>
    <s v=" -   "/>
    <s v=" -   "/>
    <s v=" -   "/>
    <n v="1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PROYECTOS 1"/>
    <x v="2"/>
    <n v="1"/>
    <n v="8500"/>
    <m/>
    <m/>
    <m/>
    <m/>
    <n v="30"/>
    <n v="30"/>
    <m/>
    <m/>
    <m/>
    <m/>
    <m/>
    <m/>
    <n v="17000"/>
    <s v=" -   "/>
    <s v=" -   "/>
    <s v=" -   "/>
    <s v=" -   "/>
    <n v="8500"/>
    <n v="8500"/>
    <s v=" -   "/>
    <s v=" -   "/>
    <s v=" -   "/>
    <s v=" -   "/>
    <s v=" -   "/>
    <s v=" -   "/>
    <n v="1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GESTOR DE PROYECTOS 2"/>
    <x v="2"/>
    <n v="1"/>
    <n v="8500"/>
    <m/>
    <m/>
    <m/>
    <m/>
    <n v="30"/>
    <m/>
    <m/>
    <m/>
    <m/>
    <m/>
    <m/>
    <m/>
    <n v="8500"/>
    <s v=" -   "/>
    <s v=" -   "/>
    <s v=" -   "/>
    <s v=" -   "/>
    <n v="8500"/>
    <s v=" -   "/>
    <s v=" -   "/>
    <s v=" -   "/>
    <s v=" -   "/>
    <s v=" -   "/>
    <s v=" -   "/>
    <s v=" -   "/>
    <n v="8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PROYECTOS 2"/>
    <x v="2"/>
    <n v="1"/>
    <n v="8500"/>
    <m/>
    <m/>
    <m/>
    <m/>
    <m/>
    <n v="30"/>
    <m/>
    <m/>
    <m/>
    <m/>
    <m/>
    <m/>
    <n v="8500"/>
    <s v=" -   "/>
    <s v=" -   "/>
    <s v=" -   "/>
    <s v=" -   "/>
    <s v=" -   "/>
    <n v="8500"/>
    <s v=" -   "/>
    <s v=" -   "/>
    <s v=" -   "/>
    <s v=" -   "/>
    <s v=" -   "/>
    <s v=" -   "/>
    <n v="8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PROYECTOS TI 2"/>
    <x v="2"/>
    <n v="1"/>
    <n v="9000"/>
    <m/>
    <m/>
    <m/>
    <m/>
    <n v="30"/>
    <n v="30"/>
    <m/>
    <m/>
    <m/>
    <m/>
    <m/>
    <m/>
    <n v="18000"/>
    <s v=" -   "/>
    <s v=" -   "/>
    <s v=" -   "/>
    <s v=" -   "/>
    <n v="9000"/>
    <n v="9000"/>
    <s v=" -   "/>
    <s v=" -   "/>
    <s v=" -   "/>
    <s v=" -   "/>
    <s v=" -   "/>
    <s v=" -   "/>
    <n v="1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DESARROLLO"/>
    <x v="2"/>
    <n v="1"/>
    <n v="9000"/>
    <m/>
    <m/>
    <m/>
    <m/>
    <n v="30"/>
    <n v="30"/>
    <m/>
    <m/>
    <m/>
    <m/>
    <m/>
    <m/>
    <n v="18000"/>
    <s v=" -   "/>
    <s v=" -   "/>
    <s v=" -   "/>
    <s v=" -   "/>
    <n v="9000"/>
    <n v="9000"/>
    <s v=" -   "/>
    <s v=" -   "/>
    <s v=" -   "/>
    <s v=" -   "/>
    <s v=" -   "/>
    <s v=" -   "/>
    <n v="1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PROYECTOS DE SOFTWARE 1"/>
    <x v="2"/>
    <n v="1"/>
    <n v="10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COORDINADOR DE PROYECTOS 1"/>
    <x v="2"/>
    <n v="1"/>
    <n v="8500"/>
    <m/>
    <m/>
    <m/>
    <m/>
    <n v="30"/>
    <m/>
    <m/>
    <m/>
    <m/>
    <m/>
    <m/>
    <m/>
    <n v="8500"/>
    <s v=" -   "/>
    <s v=" -   "/>
    <s v=" -   "/>
    <s v=" -   "/>
    <n v="8500"/>
    <s v=" -   "/>
    <s v=" -   "/>
    <s v=" -   "/>
    <s v=" -   "/>
    <s v=" -   "/>
    <s v=" -   "/>
    <s v=" -   "/>
    <n v="8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COORDINADOR DE PROYECTOS 1"/>
    <x v="2"/>
    <n v="1"/>
    <n v="8500"/>
    <m/>
    <m/>
    <m/>
    <m/>
    <m/>
    <n v="30"/>
    <m/>
    <m/>
    <m/>
    <m/>
    <m/>
    <m/>
    <n v="8500"/>
    <s v=" -   "/>
    <s v=" -   "/>
    <s v=" -   "/>
    <s v=" -   "/>
    <s v=" -   "/>
    <n v="8500"/>
    <s v=" -   "/>
    <s v=" -   "/>
    <s v=" -   "/>
    <s v=" -   "/>
    <s v=" -   "/>
    <s v=" -   "/>
    <n v="8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COORDINADOR UX/UI"/>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COORDINADOR UX/UI"/>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EN GESTION DE PROYECTOS"/>
    <x v="2"/>
    <n v="1"/>
    <n v="12000"/>
    <m/>
    <m/>
    <m/>
    <m/>
    <n v="30"/>
    <n v="30"/>
    <m/>
    <m/>
    <m/>
    <m/>
    <m/>
    <m/>
    <n v="24000"/>
    <s v=" -   "/>
    <s v=" -   "/>
    <s v=" -   "/>
    <s v=" -   "/>
    <n v="12000"/>
    <n v="12000"/>
    <s v=" -   "/>
    <s v=" -   "/>
    <s v=" -   "/>
    <s v=" -   "/>
    <s v=" -   "/>
    <s v=" -   "/>
    <n v="24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EN BASE DE DATOS"/>
    <x v="2"/>
    <n v="1"/>
    <n v="9000"/>
    <m/>
    <m/>
    <m/>
    <m/>
    <n v="30"/>
    <n v="30"/>
    <m/>
    <m/>
    <m/>
    <m/>
    <m/>
    <m/>
    <n v="18000"/>
    <s v=" -   "/>
    <s v=" -   "/>
    <s v=" -   "/>
    <s v=" -   "/>
    <n v="9000"/>
    <n v="9000"/>
    <s v=" -   "/>
    <s v=" -   "/>
    <s v=" -   "/>
    <s v=" -   "/>
    <s v=" -   "/>
    <s v=" -   "/>
    <n v="1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ESPECIALISTA EN GESTIÓN DE PROYECTOS DE SOFTWARE 1"/>
    <x v="2"/>
    <n v="1"/>
    <n v="10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1"/>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2"/>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3"/>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4"/>
    <x v="2"/>
    <n v="1"/>
    <n v="4500"/>
    <m/>
    <m/>
    <m/>
    <m/>
    <n v="30"/>
    <n v="30"/>
    <m/>
    <m/>
    <m/>
    <m/>
    <m/>
    <m/>
    <n v="9000"/>
    <s v=" -   "/>
    <s v=" -   "/>
    <s v=" -   "/>
    <s v=" -   "/>
    <n v="4500"/>
    <n v="4500"/>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5"/>
    <x v="2"/>
    <n v="3"/>
    <n v="4500"/>
    <m/>
    <m/>
    <m/>
    <m/>
    <n v="30"/>
    <n v="30"/>
    <m/>
    <m/>
    <m/>
    <m/>
    <m/>
    <m/>
    <n v="27000"/>
    <s v=" -   "/>
    <s v=" -   "/>
    <s v=" -   "/>
    <s v=" -   "/>
    <n v="13500"/>
    <n v="13500"/>
    <s v=" -   "/>
    <s v=" -   "/>
    <s v=" -   "/>
    <s v=" -   "/>
    <s v=" -   "/>
    <s v=" -   "/>
    <n v="2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6"/>
    <x v="2"/>
    <n v="2"/>
    <n v="4500"/>
    <m/>
    <m/>
    <m/>
    <m/>
    <n v="30"/>
    <m/>
    <m/>
    <m/>
    <m/>
    <m/>
    <m/>
    <m/>
    <n v="9000"/>
    <s v=" -   "/>
    <s v=" -   "/>
    <s v=" -   "/>
    <s v=" -   "/>
    <n v="9000"/>
    <s v=" -   "/>
    <s v=" -   "/>
    <s v=" -   "/>
    <s v=" -   "/>
    <s v=" -   "/>
    <s v=" -   "/>
    <s v=" -   "/>
    <n v="9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6"/>
    <x v="2"/>
    <n v="2"/>
    <n v="4500"/>
    <m/>
    <m/>
    <m/>
    <m/>
    <m/>
    <n v="30"/>
    <m/>
    <m/>
    <m/>
    <m/>
    <m/>
    <m/>
    <n v="9000"/>
    <s v=" -   "/>
    <s v=" -   "/>
    <s v=" -   "/>
    <s v=" -   "/>
    <s v=" -   "/>
    <n v="9000"/>
    <s v=" -   "/>
    <s v=" -   "/>
    <s v=" -   "/>
    <s v=" -   "/>
    <s v=" -   "/>
    <s v=" -   "/>
    <n v="9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DE APLICACIONES 1"/>
    <x v="2"/>
    <n v="1"/>
    <n v="3000"/>
    <m/>
    <m/>
    <m/>
    <m/>
    <n v="30"/>
    <m/>
    <m/>
    <m/>
    <m/>
    <m/>
    <m/>
    <m/>
    <n v="3000"/>
    <s v=" -   "/>
    <s v=" -   "/>
    <s v=" -   "/>
    <s v=" -   "/>
    <n v="3000"/>
    <s v=" -   "/>
    <s v=" -   "/>
    <s v=" -   "/>
    <s v=" -   "/>
    <s v=" -   "/>
    <s v=" -   "/>
    <s v=" -   "/>
    <n v="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DE APLICACIONES 1"/>
    <x v="2"/>
    <n v="1"/>
    <n v="3000"/>
    <m/>
    <m/>
    <m/>
    <m/>
    <m/>
    <n v="30"/>
    <m/>
    <m/>
    <m/>
    <m/>
    <m/>
    <m/>
    <n v="3000"/>
    <s v=" -   "/>
    <s v=" -   "/>
    <s v=" -   "/>
    <s v=" -   "/>
    <s v=" -   "/>
    <n v="3000"/>
    <s v=" -   "/>
    <s v=" -   "/>
    <s v=" -   "/>
    <s v=" -   "/>
    <s v=" -   "/>
    <s v=" -   "/>
    <n v="3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DE APLICACIONES JUNIOR 1"/>
    <x v="2"/>
    <n v="1"/>
    <n v="3000"/>
    <m/>
    <m/>
    <m/>
    <m/>
    <n v="30"/>
    <m/>
    <m/>
    <m/>
    <m/>
    <m/>
    <m/>
    <m/>
    <n v="3000"/>
    <s v=" -   "/>
    <s v=" -   "/>
    <s v=" -   "/>
    <s v=" -   "/>
    <n v="3000"/>
    <s v=" -   "/>
    <s v=" -   "/>
    <s v=" -   "/>
    <s v=" -   "/>
    <s v=" -   "/>
    <s v=" -   "/>
    <s v=" -   "/>
    <n v="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DE APLICACIONES JUNIOR 1"/>
    <x v="2"/>
    <n v="1"/>
    <n v="3000"/>
    <m/>
    <m/>
    <m/>
    <m/>
    <m/>
    <n v="30"/>
    <m/>
    <m/>
    <m/>
    <m/>
    <m/>
    <m/>
    <n v="3000"/>
    <s v=" -   "/>
    <s v=" -   "/>
    <s v=" -   "/>
    <s v=" -   "/>
    <s v=" -   "/>
    <n v="3000"/>
    <s v=" -   "/>
    <s v=" -   "/>
    <s v=" -   "/>
    <s v=" -   "/>
    <s v=" -   "/>
    <s v=" -   "/>
    <n v="3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DE DATOS JUNIOR 1"/>
    <x v="2"/>
    <n v="1"/>
    <n v="2500"/>
    <m/>
    <m/>
    <m/>
    <m/>
    <n v="30"/>
    <m/>
    <m/>
    <m/>
    <m/>
    <m/>
    <m/>
    <m/>
    <n v="2500"/>
    <s v=" -   "/>
    <s v=" -   "/>
    <s v=" -   "/>
    <s v=" -   "/>
    <n v="2500"/>
    <s v=" -   "/>
    <s v=" -   "/>
    <s v=" -   "/>
    <s v=" -   "/>
    <s v=" -   "/>
    <s v=" -   "/>
    <s v=" -   "/>
    <n v="2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DE DATOS JUNIOR 1"/>
    <x v="2"/>
    <n v="1"/>
    <n v="2500"/>
    <m/>
    <m/>
    <m/>
    <m/>
    <m/>
    <n v="30"/>
    <m/>
    <m/>
    <m/>
    <m/>
    <m/>
    <m/>
    <n v="2500"/>
    <s v=" -   "/>
    <s v=" -   "/>
    <s v=" -   "/>
    <s v=" -   "/>
    <s v=" -   "/>
    <n v="2500"/>
    <s v=" -   "/>
    <s v=" -   "/>
    <s v=" -   "/>
    <s v=" -   "/>
    <s v=" -   "/>
    <s v=" -   "/>
    <n v="2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DE APLICACIONES JUNIOR 2"/>
    <x v="2"/>
    <n v="1"/>
    <n v="3000"/>
    <m/>
    <m/>
    <m/>
    <m/>
    <n v="30"/>
    <m/>
    <m/>
    <m/>
    <m/>
    <m/>
    <m/>
    <m/>
    <n v="3000"/>
    <s v=" -   "/>
    <s v=" -   "/>
    <s v=" -   "/>
    <s v=" -   "/>
    <n v="3000"/>
    <s v=" -   "/>
    <s v=" -   "/>
    <s v=" -   "/>
    <s v=" -   "/>
    <s v=" -   "/>
    <s v=" -   "/>
    <s v=" -   "/>
    <n v="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DE APLICACIONES JUNIOR 2"/>
    <x v="2"/>
    <n v="1"/>
    <n v="3000"/>
    <m/>
    <m/>
    <m/>
    <m/>
    <m/>
    <n v="30"/>
    <m/>
    <m/>
    <m/>
    <m/>
    <m/>
    <m/>
    <n v="3000"/>
    <s v=" -   "/>
    <s v=" -   "/>
    <s v=" -   "/>
    <s v=" -   "/>
    <s v=" -   "/>
    <n v="3000"/>
    <s v=" -   "/>
    <s v=" -   "/>
    <s v=" -   "/>
    <s v=" -   "/>
    <s v=" -   "/>
    <s v=" -   "/>
    <n v="3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31"/>
    <x v="2"/>
    <n v="1"/>
    <n v="7000"/>
    <m/>
    <m/>
    <m/>
    <m/>
    <n v="30"/>
    <n v="30"/>
    <m/>
    <m/>
    <m/>
    <m/>
    <m/>
    <m/>
    <n v="14000"/>
    <s v=" -   "/>
    <s v=" -   "/>
    <s v=" -   "/>
    <s v=" -   "/>
    <n v="7000"/>
    <n v="7000"/>
    <s v=" -   "/>
    <s v=" -   "/>
    <s v=" -   "/>
    <s v=" -   "/>
    <s v=" -   "/>
    <s v=" -   "/>
    <n v="14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SOPORTE INFORMATICO DE SISTEMAS 1"/>
    <x v="2"/>
    <n v="1"/>
    <n v="5000"/>
    <m/>
    <m/>
    <m/>
    <m/>
    <n v="30"/>
    <m/>
    <m/>
    <m/>
    <m/>
    <m/>
    <m/>
    <m/>
    <n v="5000"/>
    <s v=" -   "/>
    <s v=" -   "/>
    <s v=" -   "/>
    <s v=" -   "/>
    <n v="5000"/>
    <s v=" -   "/>
    <s v=" -   "/>
    <s v=" -   "/>
    <s v=" -   "/>
    <s v=" -   "/>
    <s v=" -   "/>
    <s v=" -   "/>
    <n v="5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
    <x v="2"/>
    <n v="1"/>
    <n v="5000"/>
    <m/>
    <m/>
    <m/>
    <m/>
    <m/>
    <n v="30"/>
    <m/>
    <m/>
    <m/>
    <m/>
    <m/>
    <m/>
    <n v="5000"/>
    <s v=" -   "/>
    <s v=" -   "/>
    <s v=" -   "/>
    <s v=" -   "/>
    <s v=" -   "/>
    <n v="5000"/>
    <s v=" -   "/>
    <s v=" -   "/>
    <s v=" -   "/>
    <s v=" -   "/>
    <s v=" -   "/>
    <s v=" -   "/>
    <n v="5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SOPORTE INFORMATICO DE SISTEMAS 2"/>
    <x v="2"/>
    <n v="1"/>
    <n v="5000"/>
    <m/>
    <m/>
    <m/>
    <m/>
    <n v="30"/>
    <m/>
    <m/>
    <m/>
    <m/>
    <m/>
    <m/>
    <m/>
    <n v="5000"/>
    <s v=" -   "/>
    <s v=" -   "/>
    <s v=" -   "/>
    <s v=" -   "/>
    <n v="5000"/>
    <s v=" -   "/>
    <s v=" -   "/>
    <s v=" -   "/>
    <s v=" -   "/>
    <s v=" -   "/>
    <s v=" -   "/>
    <s v=" -   "/>
    <n v="5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2"/>
    <x v="2"/>
    <n v="1"/>
    <n v="5000"/>
    <m/>
    <m/>
    <m/>
    <m/>
    <m/>
    <n v="30"/>
    <m/>
    <m/>
    <m/>
    <m/>
    <m/>
    <m/>
    <n v="5000"/>
    <s v=" -   "/>
    <s v=" -   "/>
    <s v=" -   "/>
    <s v=" -   "/>
    <s v=" -   "/>
    <n v="5000"/>
    <s v=" -   "/>
    <s v=" -   "/>
    <s v=" -   "/>
    <s v=" -   "/>
    <s v=" -   "/>
    <s v=" -   "/>
    <n v="5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3"/>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4"/>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5"/>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6"/>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7"/>
    <x v="2"/>
    <n v="2"/>
    <n v="5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8"/>
    <x v="2"/>
    <n v="2"/>
    <n v="5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9"/>
    <x v="2"/>
    <n v="2"/>
    <n v="5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0"/>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5"/>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1"/>
    <x v="2"/>
    <n v="2"/>
    <n v="5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2"/>
    <x v="2"/>
    <n v="2"/>
    <n v="5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3"/>
    <x v="2"/>
    <n v="2"/>
    <n v="5000"/>
    <m/>
    <m/>
    <m/>
    <m/>
    <n v="30"/>
    <n v="30"/>
    <m/>
    <m/>
    <m/>
    <m/>
    <m/>
    <m/>
    <n v="20000"/>
    <s v=" -   "/>
    <s v=" -   "/>
    <s v=" -   "/>
    <s v=" -   "/>
    <n v="10000"/>
    <n v="10000"/>
    <s v=" -   "/>
    <s v=" -   "/>
    <s v=" -   "/>
    <s v=" -   "/>
    <s v=" -   "/>
    <s v=" -   "/>
    <n v="20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INFORMATICO DE SISTEMAS 14"/>
    <x v="2"/>
    <n v="1"/>
    <n v="5000"/>
    <m/>
    <m/>
    <m/>
    <m/>
    <n v="30"/>
    <n v="30"/>
    <m/>
    <m/>
    <m/>
    <m/>
    <m/>
    <m/>
    <n v="10000"/>
    <s v=" -   "/>
    <s v=" -   "/>
    <s v=" -   "/>
    <s v=" -   "/>
    <n v="5000"/>
    <n v="5000"/>
    <s v=" -   "/>
    <s v=" -   "/>
    <s v=" -   "/>
    <s v=" -   "/>
    <s v=" -   "/>
    <s v=" -   "/>
    <n v="10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DATOS 1"/>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DATOS 1"/>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DE PRUEBAS DE DESARROLLO DE SOFTWARE 1"/>
    <x v="2"/>
    <n v="1"/>
    <n v="5500"/>
    <m/>
    <m/>
    <m/>
    <m/>
    <n v="30"/>
    <m/>
    <m/>
    <m/>
    <m/>
    <m/>
    <m/>
    <m/>
    <n v="5500"/>
    <s v=" -   "/>
    <s v=" -   "/>
    <s v=" -   "/>
    <s v=" -   "/>
    <n v="5500"/>
    <s v=" -   "/>
    <s v=" -   "/>
    <s v=" -   "/>
    <s v=" -   "/>
    <s v=" -   "/>
    <s v=" -   "/>
    <s v=" -   "/>
    <n v="5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DE PRUEBAS DE DESARROLLO DE SOFTWARE 1"/>
    <x v="2"/>
    <n v="1"/>
    <n v="5500"/>
    <m/>
    <m/>
    <m/>
    <m/>
    <m/>
    <n v="30"/>
    <m/>
    <m/>
    <m/>
    <m/>
    <m/>
    <m/>
    <n v="5500"/>
    <s v=" -   "/>
    <s v=" -   "/>
    <s v=" -   "/>
    <s v=" -   "/>
    <s v=" -   "/>
    <n v="5500"/>
    <s v=" -   "/>
    <s v=" -   "/>
    <s v=" -   "/>
    <s v=" -   "/>
    <s v=" -   "/>
    <s v=" -   "/>
    <n v="5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FUNCIONAL SENIOR 1"/>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FUNCIONAL SENIOR 1"/>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1"/>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1"/>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2"/>
    <x v="2"/>
    <n v="1"/>
    <n v="6000"/>
    <m/>
    <m/>
    <m/>
    <m/>
    <n v="30"/>
    <m/>
    <m/>
    <m/>
    <m/>
    <m/>
    <m/>
    <m/>
    <n v="6000"/>
    <s v=" -   "/>
    <s v=" -   "/>
    <s v=" -   "/>
    <s v=" -   "/>
    <n v="6000"/>
    <s v=" -   "/>
    <s v=" -   "/>
    <s v=" -   "/>
    <s v=" -   "/>
    <s v=" -   "/>
    <s v=" -   "/>
    <s v=" -   "/>
    <n v="6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2"/>
    <x v="2"/>
    <n v="1"/>
    <n v="6000"/>
    <m/>
    <m/>
    <m/>
    <m/>
    <m/>
    <n v="30"/>
    <m/>
    <m/>
    <m/>
    <m/>
    <m/>
    <m/>
    <n v="6000"/>
    <s v=" -   "/>
    <s v=" -   "/>
    <s v=" -   "/>
    <s v=" -   "/>
    <s v=" -   "/>
    <n v="6000"/>
    <s v=" -   "/>
    <s v=" -   "/>
    <s v=" -   "/>
    <s v=" -   "/>
    <s v=" -   "/>
    <s v=" -   "/>
    <n v="6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1"/>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1"/>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PROGRAMADOR SENIOR 35"/>
    <x v="2"/>
    <n v="1"/>
    <n v="7000"/>
    <m/>
    <m/>
    <m/>
    <m/>
    <n v="30"/>
    <m/>
    <m/>
    <m/>
    <m/>
    <m/>
    <m/>
    <m/>
    <n v="7000"/>
    <s v=" -   "/>
    <s v=" -   "/>
    <s v=" -   "/>
    <s v=" -   "/>
    <n v="7000"/>
    <s v=" -   "/>
    <s v=" -   "/>
    <s v=" -   "/>
    <s v=" -   "/>
    <s v=" -   "/>
    <s v=" -   "/>
    <s v=" -   "/>
    <n v="7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ANALISTA PROGRAMADOR SENIOR 35"/>
    <x v="2"/>
    <n v="1"/>
    <n v="7000"/>
    <m/>
    <m/>
    <m/>
    <m/>
    <m/>
    <n v="30"/>
    <m/>
    <m/>
    <m/>
    <m/>
    <m/>
    <m/>
    <n v="7000"/>
    <s v=" -   "/>
    <s v=" -   "/>
    <s v=" -   "/>
    <s v=" -   "/>
    <s v=" -   "/>
    <n v="7000"/>
    <s v=" -   "/>
    <s v=" -   "/>
    <s v=" -   "/>
    <s v=" -   "/>
    <s v=" -   "/>
    <s v=" -   "/>
    <n v="7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DOCUMENTADOR 1"/>
    <x v="2"/>
    <n v="1"/>
    <n v="4500"/>
    <m/>
    <m/>
    <m/>
    <m/>
    <n v="30"/>
    <m/>
    <m/>
    <m/>
    <m/>
    <m/>
    <m/>
    <m/>
    <n v="4500"/>
    <s v=" -   "/>
    <s v=" -   "/>
    <s v=" -   "/>
    <s v=" -   "/>
    <n v="4500"/>
    <s v=" -   "/>
    <s v=" -   "/>
    <s v=" -   "/>
    <s v=" -   "/>
    <s v=" -   "/>
    <s v=" -   "/>
    <s v=" -   "/>
    <n v="4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DOCUMENTADOR 1"/>
    <x v="2"/>
    <n v="1"/>
    <n v="4500"/>
    <m/>
    <m/>
    <m/>
    <m/>
    <m/>
    <n v="30"/>
    <m/>
    <m/>
    <m/>
    <m/>
    <m/>
    <m/>
    <n v="4500"/>
    <s v=" -   "/>
    <s v=" -   "/>
    <s v=" -   "/>
    <s v=" -   "/>
    <s v=" -   "/>
    <n v="4500"/>
    <s v=" -   "/>
    <s v=" -   "/>
    <s v=" -   "/>
    <s v=" -   "/>
    <s v=" -   "/>
    <s v=" -   "/>
    <n v="45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COORDINADOR DE SOPORTE INFORMATICO DE DESARROLLO"/>
    <x v="2"/>
    <n v="1"/>
    <n v="8000"/>
    <m/>
    <m/>
    <m/>
    <m/>
    <n v="30"/>
    <m/>
    <m/>
    <m/>
    <m/>
    <m/>
    <m/>
    <m/>
    <n v="8000"/>
    <s v=" -   "/>
    <s v=" -   "/>
    <s v=" -   "/>
    <s v=" -   "/>
    <n v="8000"/>
    <s v=" -   "/>
    <s v=" -   "/>
    <s v=" -   "/>
    <s v=" -   "/>
    <s v=" -   "/>
    <s v=" -   "/>
    <s v=" -   "/>
    <n v="80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COORDINADOR DE SOPORTE INFORMATICO DE DESARROLLO"/>
    <x v="2"/>
    <n v="1"/>
    <n v="8000"/>
    <m/>
    <m/>
    <m/>
    <m/>
    <m/>
    <n v="30"/>
    <m/>
    <m/>
    <m/>
    <m/>
    <m/>
    <m/>
    <n v="8000"/>
    <s v=" -   "/>
    <s v=" -   "/>
    <s v=" -   "/>
    <s v=" -   "/>
    <s v=" -   "/>
    <n v="8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GESTOR DE PROYECTOS 3"/>
    <x v="2"/>
    <n v="1"/>
    <n v="8500"/>
    <m/>
    <m/>
    <m/>
    <m/>
    <n v="30"/>
    <m/>
    <m/>
    <m/>
    <m/>
    <m/>
    <m/>
    <m/>
    <n v="8500"/>
    <s v=" -   "/>
    <s v=" -   "/>
    <s v=" -   "/>
    <s v=" -   "/>
    <n v="8500"/>
    <s v=" -   "/>
    <s v=" -   "/>
    <s v=" -   "/>
    <s v=" -   "/>
    <s v=" -   "/>
    <s v=" -   "/>
    <s v=" -   "/>
    <n v="8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GESTOR DE PROYECTOS 3"/>
    <x v="2"/>
    <n v="1"/>
    <n v="8500"/>
    <m/>
    <m/>
    <m/>
    <m/>
    <m/>
    <n v="30"/>
    <m/>
    <m/>
    <m/>
    <m/>
    <m/>
    <m/>
    <n v="8500"/>
    <s v=" -   "/>
    <s v=" -   "/>
    <s v=" -   "/>
    <s v=" -   "/>
    <s v=" -   "/>
    <n v="8500"/>
    <s v=" -   "/>
    <s v=" -   "/>
    <s v=" -   "/>
    <s v=" -   "/>
    <s v=" -   "/>
    <s v=" -   "/>
    <n v="8500"/>
    <x v="2"/>
    <s v="P1"/>
    <m/>
    <m/>
  </r>
  <r>
    <n v="2026"/>
    <n v="479"/>
    <s v="PROCESOS DE SOPORTE"/>
    <s v="GESTION DE LAS TECNOLOGIAS DE LA INFORMACION Y COMUNICACIONES "/>
    <n v="125"/>
    <n v="3000654"/>
    <n v="5005023"/>
    <n v="3"/>
    <n v="12"/>
    <n v="24"/>
    <n v="135560"/>
    <s v="2026EG 2026 (SEP)GITEMANTENIMIENTO Y SOPORTE A LAS SOLUCIONES TECNOLÓGICAS"/>
    <x v="3"/>
    <x v="3"/>
    <m/>
    <s v="GITE"/>
    <s v="EG 2026 (SEP)"/>
    <s v="2.3"/>
    <s v="2.3.2.9.1.1"/>
    <m/>
    <s v="SOPORTE ADMINISTRATIVO"/>
    <x v="2"/>
    <n v="1"/>
    <n v="4000"/>
    <m/>
    <m/>
    <m/>
    <m/>
    <n v="30"/>
    <n v="30"/>
    <m/>
    <m/>
    <m/>
    <m/>
    <m/>
    <m/>
    <n v="8000"/>
    <s v=" -   "/>
    <s v=" -   "/>
    <s v=" -   "/>
    <s v=" -   "/>
    <n v="4000"/>
    <n v="4000"/>
    <s v=" -   "/>
    <s v=" -   "/>
    <s v=" -   "/>
    <s v=" -   "/>
    <s v=" -   "/>
    <s v=" -   "/>
    <n v="8000"/>
    <x v="2"/>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SERVICIO DE ALIMENTACIÓN (Subgerencias y despacho)"/>
    <x v="0"/>
    <n v="1"/>
    <n v="38800"/>
    <m/>
    <m/>
    <m/>
    <m/>
    <n v="1"/>
    <n v="1"/>
    <m/>
    <m/>
    <m/>
    <m/>
    <m/>
    <m/>
    <n v="77600"/>
    <s v=" -   "/>
    <s v=" -   "/>
    <s v=" -   "/>
    <s v=" -   "/>
    <n v="38800"/>
    <n v="38800"/>
    <s v=" -   "/>
    <s v=" -   "/>
    <s v=" -   "/>
    <s v=" -   "/>
    <s v=" -   "/>
    <s v=" -   "/>
    <n v="77600"/>
    <x v="3"/>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ESTRATEGIAS DE GOBIERNO DIGITAL DE TI"/>
    <x v="2"/>
    <n v="1"/>
    <n v="10000"/>
    <m/>
    <m/>
    <m/>
    <m/>
    <n v="30"/>
    <n v="30"/>
    <m/>
    <m/>
    <m/>
    <m/>
    <m/>
    <m/>
    <n v="20000"/>
    <s v=" -   "/>
    <s v=" -   "/>
    <s v=" -   "/>
    <s v=" -   "/>
    <n v="10000"/>
    <n v="10000"/>
    <s v=" -   "/>
    <s v=" -   "/>
    <s v=" -   "/>
    <s v=" -   "/>
    <s v=" -   "/>
    <s v=" -   "/>
    <n v="20000"/>
    <x v="3"/>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SENIOR EN PLANIFICACIÓN DE PROYECTOS DE TI"/>
    <x v="2"/>
    <n v="1"/>
    <n v="10000"/>
    <m/>
    <m/>
    <m/>
    <m/>
    <n v="30"/>
    <n v="30"/>
    <m/>
    <m/>
    <m/>
    <m/>
    <m/>
    <m/>
    <n v="20000"/>
    <s v=" -   "/>
    <s v=" -   "/>
    <s v=" -   "/>
    <s v=" -   "/>
    <n v="10000"/>
    <n v="10000"/>
    <s v=" -   "/>
    <s v=" -   "/>
    <s v=" -   "/>
    <s v=" -   "/>
    <s v=" -   "/>
    <s v=" -   "/>
    <n v="20000"/>
    <x v="3"/>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GESTIÓN DE PROYECTOS DE TI ELECTORALES"/>
    <x v="2"/>
    <n v="1"/>
    <n v="10000"/>
    <m/>
    <m/>
    <m/>
    <m/>
    <n v="30"/>
    <n v="30"/>
    <m/>
    <m/>
    <m/>
    <m/>
    <m/>
    <m/>
    <n v="20000"/>
    <s v=" -   "/>
    <s v=" -   "/>
    <s v=" -   "/>
    <s v=" -   "/>
    <n v="10000"/>
    <n v="10000"/>
    <s v=" -   "/>
    <s v=" -   "/>
    <s v=" -   "/>
    <s v=" -   "/>
    <s v=" -   "/>
    <s v=" -   "/>
    <n v="20000"/>
    <x v="3"/>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ESPECIALISTA EN SEGURIDAD DIGITAL APLICADA A PROCESOS ELECTORALES"/>
    <x v="2"/>
    <n v="1"/>
    <n v="10000"/>
    <m/>
    <m/>
    <m/>
    <m/>
    <n v="30"/>
    <n v="30"/>
    <m/>
    <m/>
    <m/>
    <m/>
    <m/>
    <m/>
    <n v="20000"/>
    <s v=" -   "/>
    <s v=" -   "/>
    <s v=" -   "/>
    <s v=" -   "/>
    <n v="10000"/>
    <n v="10000"/>
    <s v=" -   "/>
    <s v=" -   "/>
    <s v=" -   "/>
    <s v=" -   "/>
    <s v=" -   "/>
    <s v=" -   "/>
    <n v="20000"/>
    <x v="3"/>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ESPECIALISTA EN PROYECTOS ELECTORALES"/>
    <x v="2"/>
    <n v="1"/>
    <n v="10000"/>
    <m/>
    <m/>
    <m/>
    <m/>
    <n v="30"/>
    <n v="30"/>
    <m/>
    <m/>
    <m/>
    <m/>
    <m/>
    <m/>
    <n v="20000"/>
    <s v=" -   "/>
    <s v=" -   "/>
    <s v=" -   "/>
    <s v=" -   "/>
    <n v="10000"/>
    <n v="10000"/>
    <s v=" -   "/>
    <s v=" -   "/>
    <s v=" -   "/>
    <s v=" -   "/>
    <s v=" -   "/>
    <s v=" -   "/>
    <n v="20000"/>
    <x v="3"/>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ADMINISTRADOR DE CLAVES DE SEGURIDAD"/>
    <x v="2"/>
    <n v="1"/>
    <n v="6000"/>
    <m/>
    <m/>
    <m/>
    <m/>
    <n v="30"/>
    <n v="30"/>
    <m/>
    <m/>
    <m/>
    <m/>
    <m/>
    <m/>
    <n v="12000"/>
    <s v=" -   "/>
    <s v=" -   "/>
    <s v=" -   "/>
    <s v=" -   "/>
    <n v="6000"/>
    <n v="6000"/>
    <s v=" -   "/>
    <s v=" -   "/>
    <s v=" -   "/>
    <s v=" -   "/>
    <s v=" -   "/>
    <s v=" -   "/>
    <n v="12000"/>
    <x v="3"/>
    <s v="P1"/>
    <m/>
    <m/>
  </r>
  <r>
    <n v="2026"/>
    <n v="479"/>
    <s v="PROCESOS DE SOPORTE"/>
    <s v="GESTION DE LAS TECNOLOGIAS DE LA INFORMACION Y COMUNICACIONES "/>
    <n v="125"/>
    <n v="3000654"/>
    <n v="5005023"/>
    <n v="3"/>
    <n v="12"/>
    <n v="24"/>
    <n v="135560"/>
    <s v="2026EG 2026 (SEP)GITEGESTIÓN DE LA SEGURIDAD INFORMÁTICA Y CONTINUIDAD DE LOS SERVICIOS TECNOLÓGICOS"/>
    <x v="1"/>
    <x v="1"/>
    <m/>
    <s v="GITE"/>
    <s v="EG 2026 (SEP)"/>
    <s v="2.3"/>
    <s v="2.3.2.9.1.1"/>
    <m/>
    <s v="ASISTENTE  DE CLAVES DE SEGURIDAD"/>
    <x v="2"/>
    <n v="1"/>
    <n v="5000"/>
    <m/>
    <m/>
    <m/>
    <m/>
    <n v="30"/>
    <n v="30"/>
    <m/>
    <m/>
    <m/>
    <m/>
    <m/>
    <m/>
    <n v="10000"/>
    <s v=" -   "/>
    <s v=" -   "/>
    <s v=" -   "/>
    <s v=" -   "/>
    <n v="5000"/>
    <n v="5000"/>
    <s v=" -   "/>
    <s v=" -   "/>
    <s v=" -   "/>
    <s v=" -   "/>
    <s v=" -   "/>
    <s v=" -   "/>
    <n v="10000"/>
    <x v="3"/>
    <s v="P1"/>
    <m/>
    <m/>
  </r>
  <r>
    <n v="2026"/>
    <n v="479"/>
    <s v="PROCESOS DE SOPORTE"/>
    <s v="ATENCION AL CIUDADANO Y GESTION DOCUMENTAL"/>
    <n v="125"/>
    <n v="3000001"/>
    <n v="5000276"/>
    <n v="3"/>
    <n v="12"/>
    <n v="24"/>
    <n v="47173"/>
    <s v="2026EG 2026 (SEP)GITEGESTION DOCUMENTAL"/>
    <x v="4"/>
    <x v="4"/>
    <m/>
    <s v="GITE"/>
    <s v="EG 2026 (SEP)"/>
    <s v="2.3"/>
    <s v="2.3.2.9.1.1"/>
    <m/>
    <s v="ESPECIALISTA EN GESTIÓN Y CONTROL OPERATIVO DE PROCESOS ELECTORALES"/>
    <x v="2"/>
    <n v="1"/>
    <n v="9000"/>
    <m/>
    <m/>
    <m/>
    <m/>
    <n v="30"/>
    <n v="30"/>
    <m/>
    <m/>
    <m/>
    <m/>
    <m/>
    <m/>
    <n v="18000"/>
    <s v=" -   "/>
    <s v=" -   "/>
    <s v=" -   "/>
    <s v=" -   "/>
    <n v="9000"/>
    <n v="9000"/>
    <s v=" -   "/>
    <s v=" -   "/>
    <s v=" -   "/>
    <s v=" -   "/>
    <s v=" -   "/>
    <s v=" -   "/>
    <n v="18000"/>
    <x v="3"/>
    <s v="P1"/>
    <m/>
    <m/>
  </r>
  <r>
    <n v="2026"/>
    <n v="479"/>
    <s v="PROCESOS DE SOPORTE"/>
    <s v="ATENCION AL CIUDADANO Y GESTION DOCUMENTAL"/>
    <n v="125"/>
    <n v="3000001"/>
    <n v="5000276"/>
    <n v="3"/>
    <n v="12"/>
    <n v="24"/>
    <n v="47173"/>
    <s v="2026EG 2026 (SEP)GITEGESTION DOCUMENTAL"/>
    <x v="4"/>
    <x v="4"/>
    <m/>
    <s v="GITE"/>
    <s v="EG 2026 (SEP)"/>
    <s v="2.3"/>
    <s v="2.3.2.9.1.1"/>
    <m/>
    <s v="ESPECIALISTA DE CONTROL DE TI"/>
    <x v="2"/>
    <n v="1"/>
    <n v="9000"/>
    <m/>
    <m/>
    <m/>
    <m/>
    <n v="30"/>
    <n v="30"/>
    <m/>
    <m/>
    <m/>
    <m/>
    <m/>
    <m/>
    <n v="18000"/>
    <s v=" -   "/>
    <s v=" -   "/>
    <s v=" -   "/>
    <s v=" -   "/>
    <n v="9000"/>
    <n v="9000"/>
    <s v=" -   "/>
    <s v=" -   "/>
    <s v=" -   "/>
    <s v=" -   "/>
    <s v=" -   "/>
    <s v=" -   "/>
    <n v="18000"/>
    <x v="3"/>
    <s v="P1"/>
    <m/>
    <m/>
  </r>
  <r>
    <n v="2026"/>
    <n v="479"/>
    <s v="PROCESOS DE SOPORTE"/>
    <s v="ATENCION AL CIUDADANO Y GESTION DOCUMENTAL"/>
    <n v="125"/>
    <n v="3000001"/>
    <n v="5000276"/>
    <n v="3"/>
    <n v="12"/>
    <n v="24"/>
    <n v="47173"/>
    <s v="2026EG 2026 (SEP)GITEGESTION DOCUMENTAL"/>
    <x v="4"/>
    <x v="4"/>
    <m/>
    <s v="GITE"/>
    <s v="EG 2026 (SEP)"/>
    <s v="2.3"/>
    <s v="2.3.2.9.1.1"/>
    <m/>
    <s v="ESPECIALISTA LEGAL"/>
    <x v="2"/>
    <n v="1"/>
    <n v="8000"/>
    <m/>
    <m/>
    <m/>
    <m/>
    <n v="30"/>
    <n v="30"/>
    <m/>
    <m/>
    <m/>
    <m/>
    <m/>
    <m/>
    <n v="16000"/>
    <s v=" -   "/>
    <s v=" -   "/>
    <s v=" -   "/>
    <s v=" -   "/>
    <n v="8000"/>
    <n v="8000"/>
    <s v=" -   "/>
    <s v=" -   "/>
    <s v=" -   "/>
    <s v=" -   "/>
    <s v=" -   "/>
    <s v=" -   "/>
    <n v="16000"/>
    <x v="3"/>
    <s v="P1"/>
    <m/>
    <m/>
  </r>
  <r>
    <n v="2026"/>
    <n v="479"/>
    <s v="PROCESOS DE SOPORTE"/>
    <s v="ATENCION AL CIUDADANO Y GESTION DOCUMENTAL"/>
    <n v="125"/>
    <n v="3000001"/>
    <n v="5000276"/>
    <n v="3"/>
    <n v="12"/>
    <n v="24"/>
    <n v="47173"/>
    <s v="2026EG 2026 (SEP)GITEGESTION DOCUMENTAL"/>
    <x v="4"/>
    <x v="4"/>
    <m/>
    <s v="GITE"/>
    <s v="EG 2026 (SEP)"/>
    <s v="2.3"/>
    <s v="2.3.2.9.1.1"/>
    <m/>
    <s v="ANALISTA EN GESTIÓN Y CONTROL"/>
    <x v="2"/>
    <n v="1"/>
    <n v="6000"/>
    <m/>
    <m/>
    <m/>
    <m/>
    <n v="30"/>
    <n v="30"/>
    <m/>
    <m/>
    <m/>
    <m/>
    <m/>
    <m/>
    <n v="12000"/>
    <s v=" -   "/>
    <s v=" -   "/>
    <s v=" -   "/>
    <s v=" -   "/>
    <n v="6000"/>
    <n v="6000"/>
    <s v=" -   "/>
    <s v=" -   "/>
    <s v=" -   "/>
    <s v=" -   "/>
    <s v=" -   "/>
    <s v=" -   "/>
    <n v="12000"/>
    <x v="3"/>
    <s v="P1"/>
    <m/>
    <m/>
  </r>
  <r>
    <n v="2026"/>
    <n v="479"/>
    <s v="PROCESOS DE SOPORTE"/>
    <s v="ATENCION AL CIUDADANO Y GESTION DOCUMENTAL"/>
    <n v="125"/>
    <n v="3000001"/>
    <n v="5000276"/>
    <n v="3"/>
    <n v="12"/>
    <n v="24"/>
    <n v="47173"/>
    <s v="2026EG 2026 (SEP)GITEGESTION DOCUMENTAL"/>
    <x v="4"/>
    <x v="4"/>
    <m/>
    <s v="GITE"/>
    <s v="EG 2026 (SEP)"/>
    <s v="2.3"/>
    <s v="2.3.2.9.1.1"/>
    <m/>
    <s v="ANALISTA TECNICO ADMINISTRATIVO"/>
    <x v="2"/>
    <n v="1"/>
    <n v="6500"/>
    <m/>
    <m/>
    <m/>
    <m/>
    <n v="30"/>
    <n v="30"/>
    <m/>
    <m/>
    <m/>
    <m/>
    <m/>
    <m/>
    <n v="13000"/>
    <s v=" -   "/>
    <s v=" -   "/>
    <s v=" -   "/>
    <s v=" -   "/>
    <n v="6500"/>
    <n v="6500"/>
    <s v=" -   "/>
    <s v=" -   "/>
    <s v=" -   "/>
    <s v=" -   "/>
    <s v=" -   "/>
    <s v=" -   "/>
    <n v="13000"/>
    <x v="3"/>
    <s v="P1"/>
    <m/>
    <m/>
  </r>
  <r>
    <n v="2026"/>
    <n v="479"/>
    <s v="PROCESOS DE SOPORTE"/>
    <s v="ATENCION AL CIUDADANO Y GESTION DOCUMENTAL"/>
    <n v="125"/>
    <n v="3000001"/>
    <n v="5000276"/>
    <n v="3"/>
    <n v="12"/>
    <n v="24"/>
    <n v="47173"/>
    <s v="2026EG 2026 (SEP)GITEGESTION DOCUMENTAL"/>
    <x v="4"/>
    <x v="4"/>
    <m/>
    <s v="GITE"/>
    <s v="EG 2026 (SEP)"/>
    <s v="2.3"/>
    <s v="2.3.2.9.1.1"/>
    <m/>
    <s v="ANALISTA EN GESTION ADMINISTRATIVA 1"/>
    <x v="2"/>
    <n v="1"/>
    <n v="5500"/>
    <m/>
    <m/>
    <m/>
    <m/>
    <n v="30"/>
    <n v="30"/>
    <m/>
    <m/>
    <m/>
    <m/>
    <m/>
    <m/>
    <n v="11000"/>
    <s v=" -   "/>
    <s v=" -   "/>
    <s v=" -   "/>
    <s v=" -   "/>
    <n v="5500"/>
    <n v="5500"/>
    <s v=" -   "/>
    <s v=" -   "/>
    <s v=" -   "/>
    <s v=" -   "/>
    <s v=" -   "/>
    <s v=" -   "/>
    <n v="11000"/>
    <x v="3"/>
    <s v="P1"/>
    <m/>
    <m/>
  </r>
  <r>
    <n v="2026"/>
    <n v="479"/>
    <s v="PROCESOS DE SOPORTE"/>
    <s v="ATENCION AL CIUDADANO Y GESTION DOCUMENTAL"/>
    <n v="125"/>
    <n v="3000001"/>
    <n v="5000276"/>
    <n v="3"/>
    <n v="12"/>
    <n v="24"/>
    <n v="47173"/>
    <s v="2026EG 2026 (SEP)GITEGESTION DOCUMENTAL"/>
    <x v="4"/>
    <x v="4"/>
    <m/>
    <s v="GITE"/>
    <s v="EG 2026 (SEP)"/>
    <s v="2.3"/>
    <s v="2.3.2.9.1.1"/>
    <m/>
    <s v="ANALISTA EN GESTION ADMINISTRATIVA 2"/>
    <x v="2"/>
    <n v="1"/>
    <n v="5500"/>
    <m/>
    <m/>
    <m/>
    <m/>
    <n v="30"/>
    <n v="30"/>
    <m/>
    <m/>
    <m/>
    <m/>
    <m/>
    <m/>
    <n v="11000"/>
    <s v=" -   "/>
    <s v=" -   "/>
    <s v=" -   "/>
    <s v=" -   "/>
    <n v="5500"/>
    <n v="5500"/>
    <s v=" -   "/>
    <s v=" -   "/>
    <s v=" -   "/>
    <s v=" -   "/>
    <s v=" -   "/>
    <s v=" -   "/>
    <n v="11000"/>
    <x v="3"/>
    <s v="P1"/>
    <m/>
    <m/>
  </r>
  <r>
    <n v="2026"/>
    <n v="479"/>
    <s v="PROCESOS DE SOPORTE"/>
    <s v="ATENCION AL CIUDADANO Y GESTION DOCUMENTAL"/>
    <n v="125"/>
    <n v="3000001"/>
    <n v="5000276"/>
    <n v="3"/>
    <n v="12"/>
    <n v="24"/>
    <n v="47173"/>
    <s v="2026EG 2026 (SEP)GITEGESTION DOCUMENTAL"/>
    <x v="4"/>
    <x v="4"/>
    <m/>
    <s v="GITE"/>
    <s v="EG 2026 (SEP)"/>
    <s v="2.3"/>
    <s v="2.3.2.9.1.1"/>
    <m/>
    <s v="ASISTENTE EN GESTION DOCUMENTAL "/>
    <x v="2"/>
    <n v="1"/>
    <n v="5000"/>
    <m/>
    <m/>
    <m/>
    <m/>
    <n v="30"/>
    <n v="30"/>
    <m/>
    <m/>
    <m/>
    <m/>
    <m/>
    <m/>
    <n v="10000"/>
    <s v=" -   "/>
    <s v=" -   "/>
    <s v=" -   "/>
    <s v=" -   "/>
    <n v="5000"/>
    <n v="5000"/>
    <s v=" -   "/>
    <s v=" -   "/>
    <s v=" -   "/>
    <s v=" -   "/>
    <s v=" -   "/>
    <s v=" -   "/>
    <n v="10000"/>
    <x v="3"/>
    <s v="P1"/>
    <m/>
    <m/>
  </r>
  <r>
    <n v="2026"/>
    <n v="479"/>
    <s v="PROCESOS DE SOPORTE"/>
    <s v="GESTION DE LAS TECNOLOGIAS DE LA INFORMACION Y COMUNICACIONES "/>
    <n v="125"/>
    <n v="3000654"/>
    <n v="5005023"/>
    <n v="3"/>
    <n v="12"/>
    <n v="24"/>
    <n v="135560"/>
    <s v="2026EG 2026 (SEP)GITEDISEÑO, DESARROLLO Y DESPLIEGUE SOLUCIONES TECNOLOGICAS"/>
    <x v="2"/>
    <x v="2"/>
    <m/>
    <s v="GITE"/>
    <s v="EG 2026 (SEP)"/>
    <s v="2.3"/>
    <s v="2.3.2.9.1.1"/>
    <m/>
    <s v="ANALISTA EN OPERACIONES TECNOLOGICAS"/>
    <x v="2"/>
    <n v="1"/>
    <n v="6000"/>
    <m/>
    <m/>
    <m/>
    <m/>
    <n v="30"/>
    <n v="30"/>
    <m/>
    <m/>
    <m/>
    <m/>
    <m/>
    <m/>
    <n v="12000"/>
    <s v=" -   "/>
    <s v=" -   "/>
    <s v=" -   "/>
    <s v=" -   "/>
    <n v="6000"/>
    <n v="6000"/>
    <s v=" -   "/>
    <s v=" -   "/>
    <s v=" -   "/>
    <s v=" -   "/>
    <s v=" -   "/>
    <s v=" -   "/>
    <n v="12000"/>
    <x v="3"/>
    <s v="P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B8EB92-2DF2-43AF-9B03-ECC867F67C38}"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META">
  <location ref="A3:C22" firstHeaderRow="0" firstDataRow="1" firstDataCol="1"/>
  <pivotFields count="54">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1"/>
        <item x="4"/>
        <item x="3"/>
        <item t="default"/>
      </items>
    </pivotField>
    <pivotField axis="axisRow" showAll="0">
      <items count="6">
        <item x="4"/>
        <item x="2"/>
        <item x="0"/>
        <item x="1"/>
        <item x="3"/>
        <item t="default"/>
      </items>
    </pivotField>
    <pivotField showAll="0"/>
    <pivotField showAll="0"/>
    <pivotField showAll="0"/>
    <pivotField showAll="0"/>
    <pivotField showAll="0"/>
    <pivotField showAll="0"/>
    <pivotField showAll="0"/>
    <pivotField axis="axisRow" showAll="0">
      <items count="4">
        <item h="1" x="1"/>
        <item x="2"/>
        <item h="1"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s>
  <rowFields count="3">
    <field x="13"/>
    <field x="21"/>
    <field x="50"/>
  </rowFields>
  <rowItems count="19">
    <i>
      <x/>
    </i>
    <i r="1">
      <x v="1"/>
    </i>
    <i r="2">
      <x/>
    </i>
    <i>
      <x v="1"/>
    </i>
    <i r="1">
      <x v="1"/>
    </i>
    <i r="2">
      <x/>
    </i>
    <i r="2">
      <x v="1"/>
    </i>
    <i r="2">
      <x v="3"/>
    </i>
    <i>
      <x v="2"/>
    </i>
    <i r="1">
      <x v="1"/>
    </i>
    <i r="2">
      <x v="2"/>
    </i>
    <i>
      <x v="3"/>
    </i>
    <i r="1">
      <x v="1"/>
    </i>
    <i r="2">
      <x/>
    </i>
    <i r="2">
      <x v="2"/>
    </i>
    <i>
      <x v="4"/>
    </i>
    <i r="1">
      <x v="1"/>
    </i>
    <i r="2">
      <x v="3"/>
    </i>
    <i t="grand">
      <x/>
    </i>
  </rowItems>
  <colFields count="1">
    <field x="-2"/>
  </colFields>
  <colItems count="2">
    <i>
      <x/>
    </i>
    <i i="1">
      <x v="1"/>
    </i>
  </colItems>
  <dataFields count="2">
    <dataField name="CANTIDAD DE PERSOMAS" fld="22" baseField="13" baseItem="0"/>
    <dataField name="MONTO TOTAL" fld="36" baseField="21" baseItem="1" numFmtId="164"/>
  </dataFields>
  <formats count="62">
    <format dxfId="61">
      <pivotArea dataOnly="0" labelOnly="1" fieldPosition="0">
        <references count="3">
          <reference field="13" count="1" selected="0">
            <x v="1"/>
          </reference>
          <reference field="21" count="0"/>
          <reference field="50" count="1" selected="0">
            <x v="0"/>
          </reference>
        </references>
      </pivotArea>
    </format>
    <format dxfId="60">
      <pivotArea field="13" type="button" dataOnly="0" labelOnly="1" outline="0" axis="axisRow" fieldPosition="0"/>
    </format>
    <format dxfId="59">
      <pivotArea dataOnly="0" labelOnly="1" outline="0" fieldPosition="0">
        <references count="1">
          <reference field="4294967294" count="2">
            <x v="0"/>
            <x v="1"/>
          </reference>
        </references>
      </pivotArea>
    </format>
    <format dxfId="58">
      <pivotArea field="13" type="button" dataOnly="0" labelOnly="1" outline="0" axis="axisRow"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13" type="button" dataOnly="0" labelOnly="1" outline="0" axis="axisRow" fieldPosition="0"/>
    </format>
    <format dxfId="53">
      <pivotArea dataOnly="0" labelOnly="1" fieldPosition="0">
        <references count="1">
          <reference field="13" count="0"/>
        </references>
      </pivotArea>
    </format>
    <format dxfId="52">
      <pivotArea dataOnly="0" labelOnly="1" grandRow="1" outline="0" fieldPosition="0"/>
    </format>
    <format dxfId="51">
      <pivotArea dataOnly="0" labelOnly="1" fieldPosition="0">
        <references count="2">
          <reference field="13" count="1" selected="0">
            <x v="0"/>
          </reference>
          <reference field="50" count="1">
            <x v="0"/>
          </reference>
        </references>
      </pivotArea>
    </format>
    <format dxfId="50">
      <pivotArea dataOnly="0" labelOnly="1" fieldPosition="0">
        <references count="2">
          <reference field="13" count="1" selected="0">
            <x v="1"/>
          </reference>
          <reference field="50" count="3">
            <x v="0"/>
            <x v="1"/>
            <x v="3"/>
          </reference>
        </references>
      </pivotArea>
    </format>
    <format dxfId="49">
      <pivotArea dataOnly="0" labelOnly="1" fieldPosition="0">
        <references count="2">
          <reference field="13" count="1" selected="0">
            <x v="2"/>
          </reference>
          <reference field="50" count="1">
            <x v="2"/>
          </reference>
        </references>
      </pivotArea>
    </format>
    <format dxfId="48">
      <pivotArea dataOnly="0" labelOnly="1" fieldPosition="0">
        <references count="2">
          <reference field="13" count="1" selected="0">
            <x v="3"/>
          </reference>
          <reference field="50" count="2">
            <x v="0"/>
            <x v="2"/>
          </reference>
        </references>
      </pivotArea>
    </format>
    <format dxfId="47">
      <pivotArea dataOnly="0" labelOnly="1" fieldPosition="0">
        <references count="2">
          <reference field="13" count="1" selected="0">
            <x v="4"/>
          </reference>
          <reference field="50" count="1">
            <x v="3"/>
          </reference>
        </references>
      </pivotArea>
    </format>
    <format dxfId="46">
      <pivotArea dataOnly="0" labelOnly="1" fieldPosition="0">
        <references count="3">
          <reference field="13" count="1" selected="0">
            <x v="0"/>
          </reference>
          <reference field="21" count="0"/>
          <reference field="50" count="1" selected="0">
            <x v="0"/>
          </reference>
        </references>
      </pivotArea>
    </format>
    <format dxfId="45">
      <pivotArea dataOnly="0" labelOnly="1" fieldPosition="0">
        <references count="3">
          <reference field="13" count="1" selected="0">
            <x v="1"/>
          </reference>
          <reference field="21" count="0"/>
          <reference field="50" count="1" selected="0">
            <x v="0"/>
          </reference>
        </references>
      </pivotArea>
    </format>
    <format dxfId="44">
      <pivotArea dataOnly="0" labelOnly="1" fieldPosition="0">
        <references count="3">
          <reference field="13" count="1" selected="0">
            <x v="1"/>
          </reference>
          <reference field="21" count="0"/>
          <reference field="50" count="1" selected="0">
            <x v="1"/>
          </reference>
        </references>
      </pivotArea>
    </format>
    <format dxfId="43">
      <pivotArea dataOnly="0" labelOnly="1" fieldPosition="0">
        <references count="3">
          <reference field="13" count="1" selected="0">
            <x v="1"/>
          </reference>
          <reference field="21" count="0"/>
          <reference field="50" count="1" selected="0">
            <x v="3"/>
          </reference>
        </references>
      </pivotArea>
    </format>
    <format dxfId="42">
      <pivotArea dataOnly="0" labelOnly="1" fieldPosition="0">
        <references count="3">
          <reference field="13" count="1" selected="0">
            <x v="2"/>
          </reference>
          <reference field="21" count="0"/>
          <reference field="50" count="1" selected="0">
            <x v="2"/>
          </reference>
        </references>
      </pivotArea>
    </format>
    <format dxfId="41">
      <pivotArea dataOnly="0" labelOnly="1" fieldPosition="0">
        <references count="3">
          <reference field="13" count="1" selected="0">
            <x v="3"/>
          </reference>
          <reference field="21" count="0"/>
          <reference field="50" count="1" selected="0">
            <x v="0"/>
          </reference>
        </references>
      </pivotArea>
    </format>
    <format dxfId="40">
      <pivotArea dataOnly="0" labelOnly="1" fieldPosition="0">
        <references count="3">
          <reference field="13" count="1" selected="0">
            <x v="3"/>
          </reference>
          <reference field="21" count="0"/>
          <reference field="50" count="1" selected="0">
            <x v="2"/>
          </reference>
        </references>
      </pivotArea>
    </format>
    <format dxfId="39">
      <pivotArea dataOnly="0" labelOnly="1" fieldPosition="0">
        <references count="3">
          <reference field="13" count="1" selected="0">
            <x v="4"/>
          </reference>
          <reference field="21" count="0"/>
          <reference field="50" count="1" selected="0">
            <x v="3"/>
          </reference>
        </references>
      </pivotArea>
    </format>
    <format dxfId="38">
      <pivotArea dataOnly="0" labelOnly="1" outline="0" fieldPosition="0">
        <references count="1">
          <reference field="4294967294" count="2">
            <x v="0"/>
            <x v="1"/>
          </reference>
        </references>
      </pivotArea>
    </format>
    <format dxfId="37">
      <pivotArea outline="0" fieldPosition="0">
        <references count="1">
          <reference field="4294967294" count="1">
            <x v="1"/>
          </reference>
        </references>
      </pivotArea>
    </format>
    <format dxfId="36">
      <pivotArea collapsedLevelsAreSubtotals="1" fieldPosition="0">
        <references count="1">
          <reference field="13" count="1">
            <x v="0"/>
          </reference>
        </references>
      </pivotArea>
    </format>
    <format dxfId="35">
      <pivotArea collapsedLevelsAreSubtotals="1" fieldPosition="0">
        <references count="2">
          <reference field="13" count="1" selected="0">
            <x v="0"/>
          </reference>
          <reference field="50" count="1">
            <x v="0"/>
          </reference>
        </references>
      </pivotArea>
    </format>
    <format dxfId="34">
      <pivotArea collapsedLevelsAreSubtotals="1" fieldPosition="0">
        <references count="3">
          <reference field="13" count="1" selected="0">
            <x v="0"/>
          </reference>
          <reference field="21" count="0"/>
          <reference field="50" count="1" selected="0">
            <x v="0"/>
          </reference>
        </references>
      </pivotArea>
    </format>
    <format dxfId="33">
      <pivotArea collapsedLevelsAreSubtotals="1" fieldPosition="0">
        <references count="1">
          <reference field="13" count="1">
            <x v="1"/>
          </reference>
        </references>
      </pivotArea>
    </format>
    <format dxfId="32">
      <pivotArea collapsedLevelsAreSubtotals="1" fieldPosition="0">
        <references count="2">
          <reference field="13" count="1" selected="0">
            <x v="1"/>
          </reference>
          <reference field="50" count="1">
            <x v="0"/>
          </reference>
        </references>
      </pivotArea>
    </format>
    <format dxfId="31">
      <pivotArea collapsedLevelsAreSubtotals="1" fieldPosition="0">
        <references count="3">
          <reference field="13" count="1" selected="0">
            <x v="1"/>
          </reference>
          <reference field="21" count="0"/>
          <reference field="50" count="1" selected="0">
            <x v="0"/>
          </reference>
        </references>
      </pivotArea>
    </format>
    <format dxfId="30">
      <pivotArea collapsedLevelsAreSubtotals="1" fieldPosition="0">
        <references count="2">
          <reference field="13" count="1" selected="0">
            <x v="1"/>
          </reference>
          <reference field="50" count="1">
            <x v="1"/>
          </reference>
        </references>
      </pivotArea>
    </format>
    <format dxfId="29">
      <pivotArea collapsedLevelsAreSubtotals="1" fieldPosition="0">
        <references count="3">
          <reference field="13" count="1" selected="0">
            <x v="1"/>
          </reference>
          <reference field="21" count="0"/>
          <reference field="50" count="1" selected="0">
            <x v="1"/>
          </reference>
        </references>
      </pivotArea>
    </format>
    <format dxfId="28">
      <pivotArea collapsedLevelsAreSubtotals="1" fieldPosition="0">
        <references count="2">
          <reference field="13" count="1" selected="0">
            <x v="1"/>
          </reference>
          <reference field="50" count="1">
            <x v="3"/>
          </reference>
        </references>
      </pivotArea>
    </format>
    <format dxfId="27">
      <pivotArea collapsedLevelsAreSubtotals="1" fieldPosition="0">
        <references count="3">
          <reference field="13" count="1" selected="0">
            <x v="1"/>
          </reference>
          <reference field="21" count="0"/>
          <reference field="50" count="1" selected="0">
            <x v="3"/>
          </reference>
        </references>
      </pivotArea>
    </format>
    <format dxfId="26">
      <pivotArea collapsedLevelsAreSubtotals="1" fieldPosition="0">
        <references count="1">
          <reference field="13" count="1">
            <x v="2"/>
          </reference>
        </references>
      </pivotArea>
    </format>
    <format dxfId="25">
      <pivotArea collapsedLevelsAreSubtotals="1" fieldPosition="0">
        <references count="2">
          <reference field="13" count="1" selected="0">
            <x v="2"/>
          </reference>
          <reference field="50" count="1">
            <x v="2"/>
          </reference>
        </references>
      </pivotArea>
    </format>
    <format dxfId="24">
      <pivotArea collapsedLevelsAreSubtotals="1" fieldPosition="0">
        <references count="3">
          <reference field="13" count="1" selected="0">
            <x v="2"/>
          </reference>
          <reference field="21" count="0"/>
          <reference field="50" count="1" selected="0">
            <x v="2"/>
          </reference>
        </references>
      </pivotArea>
    </format>
    <format dxfId="23">
      <pivotArea collapsedLevelsAreSubtotals="1" fieldPosition="0">
        <references count="1">
          <reference field="13" count="1">
            <x v="3"/>
          </reference>
        </references>
      </pivotArea>
    </format>
    <format dxfId="22">
      <pivotArea collapsedLevelsAreSubtotals="1" fieldPosition="0">
        <references count="2">
          <reference field="13" count="1" selected="0">
            <x v="3"/>
          </reference>
          <reference field="50" count="1">
            <x v="0"/>
          </reference>
        </references>
      </pivotArea>
    </format>
    <format dxfId="21">
      <pivotArea collapsedLevelsAreSubtotals="1" fieldPosition="0">
        <references count="3">
          <reference field="13" count="1" selected="0">
            <x v="3"/>
          </reference>
          <reference field="21" count="0"/>
          <reference field="50" count="1" selected="0">
            <x v="0"/>
          </reference>
        </references>
      </pivotArea>
    </format>
    <format dxfId="20">
      <pivotArea collapsedLevelsAreSubtotals="1" fieldPosition="0">
        <references count="2">
          <reference field="13" count="1" selected="0">
            <x v="3"/>
          </reference>
          <reference field="50" count="1">
            <x v="2"/>
          </reference>
        </references>
      </pivotArea>
    </format>
    <format dxfId="19">
      <pivotArea collapsedLevelsAreSubtotals="1" fieldPosition="0">
        <references count="3">
          <reference field="13" count="1" selected="0">
            <x v="3"/>
          </reference>
          <reference field="21" count="0"/>
          <reference field="50" count="1" selected="0">
            <x v="2"/>
          </reference>
        </references>
      </pivotArea>
    </format>
    <format dxfId="18">
      <pivotArea collapsedLevelsAreSubtotals="1" fieldPosition="0">
        <references count="1">
          <reference field="13" count="1">
            <x v="4"/>
          </reference>
        </references>
      </pivotArea>
    </format>
    <format dxfId="17">
      <pivotArea collapsedLevelsAreSubtotals="1" fieldPosition="0">
        <references count="2">
          <reference field="13" count="1" selected="0">
            <x v="4"/>
          </reference>
          <reference field="50" count="1">
            <x v="3"/>
          </reference>
        </references>
      </pivotArea>
    </format>
    <format dxfId="16">
      <pivotArea collapsedLevelsAreSubtotals="1" fieldPosition="0">
        <references count="3">
          <reference field="13" count="1" selected="0">
            <x v="4"/>
          </reference>
          <reference field="21" count="0"/>
          <reference field="50" count="1" selected="0">
            <x v="3"/>
          </reference>
        </references>
      </pivotArea>
    </format>
    <format dxfId="15">
      <pivotArea dataOnly="0" labelOnly="1" fieldPosition="0">
        <references count="1">
          <reference field="13" count="0"/>
        </references>
      </pivotArea>
    </format>
    <format dxfId="14">
      <pivotArea dataOnly="0" labelOnly="1" fieldPosition="0">
        <references count="2">
          <reference field="13" count="1" selected="0">
            <x v="0"/>
          </reference>
          <reference field="50" count="1">
            <x v="0"/>
          </reference>
        </references>
      </pivotArea>
    </format>
    <format dxfId="13">
      <pivotArea dataOnly="0" labelOnly="1" fieldPosition="0">
        <references count="2">
          <reference field="13" count="1" selected="0">
            <x v="1"/>
          </reference>
          <reference field="50" count="3">
            <x v="0"/>
            <x v="1"/>
            <x v="3"/>
          </reference>
        </references>
      </pivotArea>
    </format>
    <format dxfId="12">
      <pivotArea dataOnly="0" labelOnly="1" fieldPosition="0">
        <references count="2">
          <reference field="13" count="1" selected="0">
            <x v="2"/>
          </reference>
          <reference field="50" count="1">
            <x v="2"/>
          </reference>
        </references>
      </pivotArea>
    </format>
    <format dxfId="11">
      <pivotArea dataOnly="0" labelOnly="1" fieldPosition="0">
        <references count="2">
          <reference field="13" count="1" selected="0">
            <x v="3"/>
          </reference>
          <reference field="50" count="2">
            <x v="0"/>
            <x v="2"/>
          </reference>
        </references>
      </pivotArea>
    </format>
    <format dxfId="10">
      <pivotArea dataOnly="0" labelOnly="1" fieldPosition="0">
        <references count="2">
          <reference field="13" count="1" selected="0">
            <x v="4"/>
          </reference>
          <reference field="50" count="1">
            <x v="3"/>
          </reference>
        </references>
      </pivotArea>
    </format>
    <format dxfId="9">
      <pivotArea dataOnly="0" labelOnly="1" fieldPosition="0">
        <references count="3">
          <reference field="13" count="1" selected="0">
            <x v="0"/>
          </reference>
          <reference field="21" count="0"/>
          <reference field="50" count="1" selected="0">
            <x v="0"/>
          </reference>
        </references>
      </pivotArea>
    </format>
    <format dxfId="8">
      <pivotArea dataOnly="0" labelOnly="1" fieldPosition="0">
        <references count="3">
          <reference field="13" count="1" selected="0">
            <x v="1"/>
          </reference>
          <reference field="21" count="0"/>
          <reference field="50" count="1" selected="0">
            <x v="0"/>
          </reference>
        </references>
      </pivotArea>
    </format>
    <format dxfId="7">
      <pivotArea dataOnly="0" labelOnly="1" fieldPosition="0">
        <references count="3">
          <reference field="13" count="1" selected="0">
            <x v="1"/>
          </reference>
          <reference field="21" count="0"/>
          <reference field="50" count="1" selected="0">
            <x v="1"/>
          </reference>
        </references>
      </pivotArea>
    </format>
    <format dxfId="6">
      <pivotArea dataOnly="0" labelOnly="1" fieldPosition="0">
        <references count="3">
          <reference field="13" count="1" selected="0">
            <x v="1"/>
          </reference>
          <reference field="21" count="0"/>
          <reference field="50" count="1" selected="0">
            <x v="3"/>
          </reference>
        </references>
      </pivotArea>
    </format>
    <format dxfId="5">
      <pivotArea dataOnly="0" labelOnly="1" fieldPosition="0">
        <references count="3">
          <reference field="13" count="1" selected="0">
            <x v="2"/>
          </reference>
          <reference field="21" count="0"/>
          <reference field="50" count="1" selected="0">
            <x v="2"/>
          </reference>
        </references>
      </pivotArea>
    </format>
    <format dxfId="4">
      <pivotArea dataOnly="0" labelOnly="1" fieldPosition="0">
        <references count="3">
          <reference field="13" count="1" selected="0">
            <x v="3"/>
          </reference>
          <reference field="21" count="0"/>
          <reference field="50" count="1" selected="0">
            <x v="0"/>
          </reference>
        </references>
      </pivotArea>
    </format>
    <format dxfId="3">
      <pivotArea dataOnly="0" labelOnly="1" fieldPosition="0">
        <references count="3">
          <reference field="13" count="1" selected="0">
            <x v="3"/>
          </reference>
          <reference field="21" count="0"/>
          <reference field="50" count="1" selected="0">
            <x v="2"/>
          </reference>
        </references>
      </pivotArea>
    </format>
    <format dxfId="2">
      <pivotArea dataOnly="0" labelOnly="1" fieldPosition="0">
        <references count="3">
          <reference field="13" count="1" selected="0">
            <x v="4"/>
          </reference>
          <reference field="21" count="0"/>
          <reference field="50" count="1" selected="0">
            <x v="3"/>
          </reference>
        </references>
      </pivotArea>
    </format>
    <format dxfId="1">
      <pivotArea outline="0" collapsedLevelsAreSubtotals="1" fieldPosition="0">
        <references count="1">
          <reference field="4294967294" count="1" selected="0">
            <x v="0"/>
          </reference>
        </references>
      </pivotArea>
    </format>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C8784-BE05-4D9B-BEAD-F0FCE54FC725}">
  <dimension ref="A3:C25"/>
  <sheetViews>
    <sheetView workbookViewId="0">
      <selection activeCell="A3" sqref="A3:C22"/>
    </sheetView>
  </sheetViews>
  <sheetFormatPr baseColWidth="10" defaultColWidth="11.42578125" defaultRowHeight="15" x14ac:dyDescent="0.25"/>
  <cols>
    <col min="1" max="1" width="13.85546875" bestFit="1" customWidth="1"/>
    <col min="2" max="2" width="24.28515625" style="50" bestFit="1" customWidth="1"/>
    <col min="3" max="3" width="14" bestFit="1" customWidth="1"/>
  </cols>
  <sheetData>
    <row r="3" spans="1:3" x14ac:dyDescent="0.25">
      <c r="A3" s="54" t="s">
        <v>0</v>
      </c>
      <c r="B3" s="55" t="s">
        <v>1</v>
      </c>
      <c r="C3" s="55" t="s">
        <v>2</v>
      </c>
    </row>
    <row r="4" spans="1:3" x14ac:dyDescent="0.25">
      <c r="A4" s="56">
        <v>92</v>
      </c>
      <c r="B4" s="60">
        <v>8</v>
      </c>
      <c r="C4" s="58">
        <v>109000</v>
      </c>
    </row>
    <row r="5" spans="1:3" x14ac:dyDescent="0.25">
      <c r="A5" s="57" t="s">
        <v>3</v>
      </c>
      <c r="B5" s="60">
        <v>8</v>
      </c>
      <c r="C5" s="58">
        <v>109000</v>
      </c>
    </row>
    <row r="6" spans="1:3" x14ac:dyDescent="0.25">
      <c r="A6" s="59" t="s">
        <v>4</v>
      </c>
      <c r="B6" s="60">
        <v>8</v>
      </c>
      <c r="C6" s="58">
        <v>109000</v>
      </c>
    </row>
    <row r="7" spans="1:3" x14ac:dyDescent="0.25">
      <c r="A7" s="56">
        <v>94</v>
      </c>
      <c r="B7" s="60">
        <v>147</v>
      </c>
      <c r="C7" s="58">
        <v>1599000</v>
      </c>
    </row>
    <row r="8" spans="1:3" x14ac:dyDescent="0.25">
      <c r="A8" s="57" t="s">
        <v>3</v>
      </c>
      <c r="B8" s="60">
        <v>147</v>
      </c>
      <c r="C8" s="58">
        <v>1599000</v>
      </c>
    </row>
    <row r="9" spans="1:3" x14ac:dyDescent="0.25">
      <c r="A9" s="59" t="s">
        <v>4</v>
      </c>
      <c r="B9" s="60">
        <v>5</v>
      </c>
      <c r="C9" s="58">
        <v>92000</v>
      </c>
    </row>
    <row r="10" spans="1:3" x14ac:dyDescent="0.25">
      <c r="A10" s="59" t="s">
        <v>5</v>
      </c>
      <c r="B10" s="60">
        <v>77</v>
      </c>
      <c r="C10" s="58">
        <v>1082000</v>
      </c>
    </row>
    <row r="11" spans="1:3" x14ac:dyDescent="0.25">
      <c r="A11" s="59" t="s">
        <v>6</v>
      </c>
      <c r="B11" s="60">
        <v>65</v>
      </c>
      <c r="C11" s="58">
        <v>425000</v>
      </c>
    </row>
    <row r="12" spans="1:3" x14ac:dyDescent="0.25">
      <c r="A12" s="56">
        <v>95</v>
      </c>
      <c r="B12" s="60">
        <v>275</v>
      </c>
      <c r="C12" s="58">
        <v>1900000</v>
      </c>
    </row>
    <row r="13" spans="1:3" x14ac:dyDescent="0.25">
      <c r="A13" s="57" t="s">
        <v>3</v>
      </c>
      <c r="B13" s="60">
        <v>275</v>
      </c>
      <c r="C13" s="58">
        <v>1900000</v>
      </c>
    </row>
    <row r="14" spans="1:3" x14ac:dyDescent="0.25">
      <c r="A14" s="59" t="s">
        <v>7</v>
      </c>
      <c r="B14" s="60">
        <v>275</v>
      </c>
      <c r="C14" s="58">
        <v>1900000</v>
      </c>
    </row>
    <row r="15" spans="1:3" x14ac:dyDescent="0.25">
      <c r="A15" s="56">
        <v>96</v>
      </c>
      <c r="B15" s="60">
        <v>8</v>
      </c>
      <c r="C15" s="58">
        <v>107000</v>
      </c>
    </row>
    <row r="16" spans="1:3" x14ac:dyDescent="0.25">
      <c r="A16" s="57" t="s">
        <v>3</v>
      </c>
      <c r="B16" s="60">
        <v>8</v>
      </c>
      <c r="C16" s="58">
        <v>107000</v>
      </c>
    </row>
    <row r="17" spans="1:3" x14ac:dyDescent="0.25">
      <c r="A17" s="59" t="s">
        <v>4</v>
      </c>
      <c r="B17" s="60">
        <v>3</v>
      </c>
      <c r="C17" s="58">
        <v>42000</v>
      </c>
    </row>
    <row r="18" spans="1:3" x14ac:dyDescent="0.25">
      <c r="A18" s="59" t="s">
        <v>7</v>
      </c>
      <c r="B18" s="60">
        <v>5</v>
      </c>
      <c r="C18" s="58">
        <v>65000</v>
      </c>
    </row>
    <row r="19" spans="1:3" x14ac:dyDescent="0.25">
      <c r="A19" s="56">
        <v>97</v>
      </c>
      <c r="B19" s="60">
        <v>203</v>
      </c>
      <c r="C19" s="58">
        <v>2176500</v>
      </c>
    </row>
    <row r="20" spans="1:3" x14ac:dyDescent="0.25">
      <c r="A20" s="57" t="s">
        <v>3</v>
      </c>
      <c r="B20" s="60">
        <v>203</v>
      </c>
      <c r="C20" s="58">
        <v>2176500</v>
      </c>
    </row>
    <row r="21" spans="1:3" x14ac:dyDescent="0.25">
      <c r="A21" s="59" t="s">
        <v>6</v>
      </c>
      <c r="B21" s="60">
        <v>203</v>
      </c>
      <c r="C21" s="58">
        <v>2176500</v>
      </c>
    </row>
    <row r="22" spans="1:3" x14ac:dyDescent="0.25">
      <c r="A22" s="56" t="s">
        <v>8</v>
      </c>
      <c r="B22" s="60">
        <v>641</v>
      </c>
      <c r="C22" s="58">
        <v>5891500</v>
      </c>
    </row>
    <row r="23" spans="1:3" x14ac:dyDescent="0.25">
      <c r="B23"/>
    </row>
    <row r="24" spans="1:3" x14ac:dyDescent="0.25">
      <c r="B24"/>
    </row>
    <row r="25" spans="1:3" x14ac:dyDescent="0.25">
      <c r="B25"/>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A836-A3D1-4573-9591-2192023BE523}">
  <sheetPr filterMode="1"/>
  <dimension ref="A1:XFA54"/>
  <sheetViews>
    <sheetView showGridLines="0" tabSelected="1" zoomScale="70" zoomScaleNormal="70" workbookViewId="0">
      <pane ySplit="1" topLeftCell="A2" activePane="bottomLeft" state="frozen"/>
      <selection activeCell="AM1" sqref="AM1"/>
      <selection pane="bottomLeft" activeCell="V24" sqref="V24"/>
    </sheetView>
  </sheetViews>
  <sheetFormatPr baseColWidth="10" defaultColWidth="11.42578125" defaultRowHeight="15" outlineLevelCol="1" x14ac:dyDescent="0.25"/>
  <cols>
    <col min="1" max="1" width="7.28515625" customWidth="1"/>
    <col min="2" max="3" width="11.42578125" hidden="1" customWidth="1"/>
    <col min="4" max="4" width="18.85546875" hidden="1" customWidth="1"/>
    <col min="5" max="11" width="11.42578125" hidden="1" customWidth="1"/>
    <col min="12" max="12" width="18" hidden="1" customWidth="1"/>
    <col min="13" max="13" width="49.5703125" customWidth="1"/>
    <col min="15" max="15" width="4.7109375" hidden="1" customWidth="1"/>
    <col min="16" max="16" width="6.140625" hidden="1" customWidth="1"/>
    <col min="18" max="18" width="3.140625" customWidth="1"/>
    <col min="20" max="20" width="5.140625" style="3" hidden="1" customWidth="1"/>
    <col min="21" max="21" width="32.85546875" customWidth="1"/>
    <col min="22" max="22" width="11.42578125" customWidth="1"/>
    <col min="23" max="23" width="4.5703125" hidden="1" customWidth="1"/>
    <col min="24" max="24" width="11.42578125" hidden="1" customWidth="1"/>
    <col min="25" max="27" width="5" hidden="1" customWidth="1" outlineLevel="1"/>
    <col min="28" max="32" width="5" customWidth="1" outlineLevel="1"/>
    <col min="33" max="36" width="5" hidden="1" customWidth="1" outlineLevel="1"/>
    <col min="37" max="37" width="15.42578125" hidden="1" customWidth="1"/>
    <col min="38" max="49" width="5.5703125" hidden="1" customWidth="1" outlineLevel="1"/>
    <col min="50" max="50" width="28.28515625" customWidth="1" collapsed="1"/>
    <col min="51" max="51" width="11.42578125" customWidth="1"/>
    <col min="52" max="52" width="12.5703125" style="109" hidden="1" customWidth="1"/>
    <col min="53" max="53" width="13.7109375" style="109" hidden="1" customWidth="1"/>
    <col min="54" max="54" width="11.42578125" style="109" hidden="1" customWidth="1"/>
    <col min="55" max="58" width="11.42578125" hidden="1" customWidth="1" outlineLevel="1"/>
    <col min="59" max="59" width="11.42578125" hidden="1" customWidth="1" collapsed="1"/>
    <col min="60" max="60" width="21.140625" style="74" customWidth="1"/>
    <col min="61" max="61" width="11.42578125" style="104" customWidth="1"/>
    <col min="62" max="63" width="7.85546875" style="95" hidden="1" customWidth="1"/>
    <col min="64" max="64" width="12" style="95" hidden="1" customWidth="1"/>
    <col min="65" max="65" width="12.42578125" style="95" hidden="1" customWidth="1"/>
    <col min="66" max="66" width="10.28515625" style="95" hidden="1" customWidth="1"/>
    <col min="67" max="67" width="9.7109375" style="95" hidden="1" customWidth="1"/>
    <col min="68" max="68" width="10.85546875" style="95" hidden="1" customWidth="1"/>
    <col min="69" max="69" width="21.85546875" style="95" hidden="1" customWidth="1"/>
    <col min="70" max="70" width="6.7109375" style="101" hidden="1" customWidth="1"/>
    <col min="71" max="73" width="11.42578125" style="94" hidden="1" customWidth="1"/>
    <col min="74" max="74" width="17.42578125" style="104" customWidth="1"/>
    <col min="75" max="75" width="18.5703125" style="94" customWidth="1"/>
    <col min="76" max="76" width="20" style="94" customWidth="1"/>
    <col min="77" max="77" width="0" style="103" hidden="1" customWidth="1"/>
    <col min="78" max="78" width="16" style="103" customWidth="1"/>
    <col min="79" max="79" width="0" style="103" hidden="1" customWidth="1"/>
    <col min="80" max="81" width="11.42578125" style="95" hidden="1" customWidth="1"/>
    <col min="82" max="84" width="5.85546875" style="95" hidden="1" customWidth="1"/>
    <col min="85" max="88" width="5.85546875" style="94" hidden="1" customWidth="1"/>
    <col min="89" max="89" width="37.140625" style="94" hidden="1" customWidth="1"/>
    <col min="90" max="92" width="0" style="94" hidden="1" customWidth="1"/>
    <col min="93" max="95" width="0" style="90" hidden="1" customWidth="1"/>
    <col min="96" max="115" width="11.42578125" style="90"/>
  </cols>
  <sheetData>
    <row r="1" spans="1:115" s="4" customFormat="1" ht="47.25" customHeight="1" x14ac:dyDescent="0.25">
      <c r="A1" s="11" t="s">
        <v>9</v>
      </c>
      <c r="B1" s="7" t="s">
        <v>10</v>
      </c>
      <c r="C1" s="2" t="s">
        <v>11</v>
      </c>
      <c r="D1" s="2" t="s">
        <v>12</v>
      </c>
      <c r="E1" s="2" t="s">
        <v>13</v>
      </c>
      <c r="F1" s="2" t="s">
        <v>14</v>
      </c>
      <c r="G1" s="2" t="s">
        <v>15</v>
      </c>
      <c r="H1" s="2" t="s">
        <v>16</v>
      </c>
      <c r="I1" s="2" t="s">
        <v>17</v>
      </c>
      <c r="J1" s="2" t="s">
        <v>18</v>
      </c>
      <c r="K1" s="2" t="s">
        <v>19</v>
      </c>
      <c r="L1" s="5" t="s">
        <v>20</v>
      </c>
      <c r="M1" s="14" t="s">
        <v>21</v>
      </c>
      <c r="N1" s="13" t="s">
        <v>22</v>
      </c>
      <c r="O1" s="8" t="s">
        <v>23</v>
      </c>
      <c r="P1" s="6" t="s">
        <v>24</v>
      </c>
      <c r="Q1" s="12" t="s">
        <v>25</v>
      </c>
      <c r="R1" s="9" t="s">
        <v>26</v>
      </c>
      <c r="S1" s="11" t="s">
        <v>27</v>
      </c>
      <c r="T1" s="10" t="s">
        <v>28</v>
      </c>
      <c r="U1" s="14" t="s">
        <v>29</v>
      </c>
      <c r="V1" s="11" t="s">
        <v>30</v>
      </c>
      <c r="W1" s="11" t="s">
        <v>31</v>
      </c>
      <c r="X1" s="7" t="s">
        <v>32</v>
      </c>
      <c r="Y1" s="2" t="s">
        <v>33</v>
      </c>
      <c r="Z1" s="2" t="s">
        <v>34</v>
      </c>
      <c r="AA1" s="2" t="s">
        <v>35</v>
      </c>
      <c r="AB1" s="2" t="s">
        <v>36</v>
      </c>
      <c r="AC1" s="2" t="s">
        <v>37</v>
      </c>
      <c r="AD1" s="2" t="s">
        <v>38</v>
      </c>
      <c r="AE1" s="2" t="s">
        <v>39</v>
      </c>
      <c r="AF1" s="2" t="s">
        <v>40</v>
      </c>
      <c r="AG1" s="2" t="s">
        <v>41</v>
      </c>
      <c r="AH1" s="2" t="s">
        <v>42</v>
      </c>
      <c r="AI1" s="2" t="s">
        <v>43</v>
      </c>
      <c r="AJ1" s="5" t="s">
        <v>44</v>
      </c>
      <c r="AK1" s="14" t="s">
        <v>45</v>
      </c>
      <c r="AL1" s="14" t="s">
        <v>46</v>
      </c>
      <c r="AM1" s="14" t="s">
        <v>47</v>
      </c>
      <c r="AN1" s="14" t="s">
        <v>48</v>
      </c>
      <c r="AO1" s="14" t="s">
        <v>49</v>
      </c>
      <c r="AP1" s="14" t="s">
        <v>50</v>
      </c>
      <c r="AQ1" s="14" t="s">
        <v>51</v>
      </c>
      <c r="AR1" s="14" t="s">
        <v>52</v>
      </c>
      <c r="AS1" s="14" t="s">
        <v>53</v>
      </c>
      <c r="AT1" s="14" t="s">
        <v>54</v>
      </c>
      <c r="AU1" s="14" t="s">
        <v>55</v>
      </c>
      <c r="AV1" s="14" t="s">
        <v>56</v>
      </c>
      <c r="AW1" s="114" t="s">
        <v>57</v>
      </c>
      <c r="AX1" s="113" t="s">
        <v>139</v>
      </c>
      <c r="AY1" s="7" t="s">
        <v>59</v>
      </c>
      <c r="AZ1" s="2" t="s">
        <v>60</v>
      </c>
      <c r="BA1" s="110" t="s">
        <v>61</v>
      </c>
      <c r="BB1" s="2" t="s">
        <v>63</v>
      </c>
      <c r="BC1" s="49" t="s">
        <v>140</v>
      </c>
      <c r="BD1" s="49" t="s">
        <v>141</v>
      </c>
      <c r="BE1" s="49" t="s">
        <v>142</v>
      </c>
      <c r="BF1" s="49" t="s">
        <v>143</v>
      </c>
      <c r="BG1" s="49" t="s">
        <v>144</v>
      </c>
      <c r="BH1" s="75" t="s">
        <v>62</v>
      </c>
      <c r="BI1" s="82" t="s">
        <v>145</v>
      </c>
      <c r="BJ1" s="82" t="s">
        <v>146</v>
      </c>
      <c r="BK1" s="82" t="s">
        <v>147</v>
      </c>
      <c r="BL1" s="82" t="s">
        <v>148</v>
      </c>
      <c r="BM1" s="82" t="s">
        <v>149</v>
      </c>
      <c r="BN1" s="82" t="s">
        <v>150</v>
      </c>
      <c r="BO1" s="82" t="s">
        <v>151</v>
      </c>
      <c r="BP1" s="82" t="s">
        <v>152</v>
      </c>
      <c r="BQ1" s="83" t="s">
        <v>153</v>
      </c>
      <c r="BR1" s="84" t="s">
        <v>154</v>
      </c>
      <c r="BS1" s="85" t="s">
        <v>155</v>
      </c>
      <c r="BT1" s="85" t="s">
        <v>156</v>
      </c>
      <c r="BU1" s="85" t="s">
        <v>157</v>
      </c>
      <c r="BV1" s="85" t="s">
        <v>158</v>
      </c>
      <c r="BW1" s="85" t="s">
        <v>159</v>
      </c>
      <c r="BX1" s="85" t="s">
        <v>160</v>
      </c>
      <c r="BY1" s="102" t="s">
        <v>161</v>
      </c>
      <c r="BZ1" s="102" t="s">
        <v>162</v>
      </c>
      <c r="CA1" s="102" t="s">
        <v>163</v>
      </c>
      <c r="CB1" s="92" t="s">
        <v>164</v>
      </c>
      <c r="CC1" s="92" t="s">
        <v>165</v>
      </c>
      <c r="CD1" s="93" t="s">
        <v>166</v>
      </c>
      <c r="CE1" s="93" t="s">
        <v>167</v>
      </c>
      <c r="CF1" s="93" t="s">
        <v>168</v>
      </c>
      <c r="CG1" s="93" t="s">
        <v>169</v>
      </c>
      <c r="CH1" s="93" t="s">
        <v>170</v>
      </c>
      <c r="CI1" s="93" t="s">
        <v>171</v>
      </c>
      <c r="CJ1" s="93" t="s">
        <v>172</v>
      </c>
      <c r="CK1" s="93" t="s">
        <v>173</v>
      </c>
      <c r="CL1" s="93" t="s">
        <v>174</v>
      </c>
      <c r="CM1" s="93" t="s">
        <v>175</v>
      </c>
      <c r="CN1" s="93" t="s">
        <v>176</v>
      </c>
      <c r="CO1" s="86" t="s">
        <v>177</v>
      </c>
      <c r="CP1" s="87" t="s">
        <v>178</v>
      </c>
      <c r="CQ1" s="88" t="s">
        <v>179</v>
      </c>
      <c r="CR1" s="89"/>
      <c r="CS1" s="89"/>
      <c r="CT1" s="89"/>
      <c r="CU1" s="89"/>
      <c r="CV1" s="89"/>
      <c r="CW1" s="89"/>
      <c r="CX1" s="89"/>
      <c r="CY1" s="89"/>
      <c r="CZ1" s="89"/>
      <c r="DA1" s="89"/>
      <c r="DB1" s="89"/>
      <c r="DC1" s="89"/>
      <c r="DD1" s="89"/>
      <c r="DE1" s="89"/>
      <c r="DF1" s="89"/>
      <c r="DG1" s="89"/>
      <c r="DH1" s="89"/>
      <c r="DI1" s="89"/>
      <c r="DJ1" s="89"/>
      <c r="DK1" s="89"/>
    </row>
    <row r="2" spans="1:115" ht="47.25" customHeight="1" x14ac:dyDescent="0.25">
      <c r="A2" s="16">
        <v>2026</v>
      </c>
      <c r="B2" s="17">
        <v>479</v>
      </c>
      <c r="C2" s="18" t="s">
        <v>64</v>
      </c>
      <c r="D2" s="18" t="s">
        <v>65</v>
      </c>
      <c r="E2" s="17">
        <v>125</v>
      </c>
      <c r="F2" s="17">
        <v>3000654</v>
      </c>
      <c r="G2" s="17">
        <v>5005023</v>
      </c>
      <c r="H2" s="17">
        <v>3</v>
      </c>
      <c r="I2" s="17">
        <v>12</v>
      </c>
      <c r="J2" s="17">
        <v>24</v>
      </c>
      <c r="K2" s="17">
        <v>135560</v>
      </c>
      <c r="L2" s="18" t="s">
        <v>66</v>
      </c>
      <c r="M2" s="19" t="s">
        <v>67</v>
      </c>
      <c r="N2" s="16">
        <v>95</v>
      </c>
      <c r="O2" s="1"/>
      <c r="P2" s="1" t="s">
        <v>4</v>
      </c>
      <c r="Q2" s="20" t="s">
        <v>68</v>
      </c>
      <c r="R2" s="22" t="s">
        <v>69</v>
      </c>
      <c r="S2" s="21" t="s">
        <v>70</v>
      </c>
      <c r="T2" s="22"/>
      <c r="U2" s="23" t="s">
        <v>71</v>
      </c>
      <c r="V2" s="21" t="s">
        <v>72</v>
      </c>
      <c r="W2" s="21"/>
      <c r="X2" s="24">
        <v>6000000</v>
      </c>
      <c r="Y2" s="156"/>
      <c r="Z2" s="157"/>
      <c r="AA2" s="157"/>
      <c r="AB2" s="158"/>
      <c r="AC2" s="22"/>
      <c r="AD2" s="22">
        <v>1</v>
      </c>
      <c r="AE2" s="22"/>
      <c r="AF2" s="156"/>
      <c r="AG2" s="157"/>
      <c r="AH2" s="157"/>
      <c r="AI2" s="157"/>
      <c r="AJ2" s="158"/>
      <c r="AK2" s="25">
        <v>6000000</v>
      </c>
      <c r="AL2" s="26" t="s">
        <v>73</v>
      </c>
      <c r="AM2" s="26" t="s">
        <v>73</v>
      </c>
      <c r="AN2" s="26" t="s">
        <v>73</v>
      </c>
      <c r="AO2" s="26" t="s">
        <v>73</v>
      </c>
      <c r="AP2" s="26" t="s">
        <v>73</v>
      </c>
      <c r="AQ2" s="27">
        <v>6000000</v>
      </c>
      <c r="AR2" s="26" t="s">
        <v>73</v>
      </c>
      <c r="AS2" s="26" t="s">
        <v>73</v>
      </c>
      <c r="AT2" s="26" t="s">
        <v>73</v>
      </c>
      <c r="AU2" s="26" t="s">
        <v>73</v>
      </c>
      <c r="AV2" s="26" t="s">
        <v>73</v>
      </c>
      <c r="AW2" s="26" t="s">
        <v>73</v>
      </c>
      <c r="AX2" s="118">
        <f>6000000+11129942</f>
        <v>17129942</v>
      </c>
      <c r="AY2" s="27" t="s">
        <v>7</v>
      </c>
      <c r="AZ2" s="126" t="s">
        <v>74</v>
      </c>
      <c r="BA2" s="126"/>
      <c r="BB2" s="109" t="s">
        <v>75</v>
      </c>
      <c r="BC2" t="s">
        <v>180</v>
      </c>
      <c r="BD2" t="s">
        <v>180</v>
      </c>
      <c r="BE2" t="s">
        <v>181</v>
      </c>
      <c r="BG2" s="51" t="s">
        <v>182</v>
      </c>
      <c r="BH2" s="28" t="s">
        <v>71</v>
      </c>
      <c r="BI2" s="104" t="s">
        <v>183</v>
      </c>
      <c r="BK2" s="95" t="s">
        <v>184</v>
      </c>
      <c r="BL2" s="96">
        <v>46113</v>
      </c>
      <c r="BM2" s="95" t="s">
        <v>185</v>
      </c>
      <c r="BN2" s="96">
        <v>46147</v>
      </c>
      <c r="BO2" s="95" t="s">
        <v>186</v>
      </c>
      <c r="BP2" s="96">
        <v>46149</v>
      </c>
      <c r="BQ2" s="95" t="s">
        <v>187</v>
      </c>
      <c r="BR2" s="127" t="s">
        <v>188</v>
      </c>
      <c r="BS2" s="94" t="s">
        <v>189</v>
      </c>
      <c r="BT2" s="25">
        <v>17129941.030000001</v>
      </c>
      <c r="BU2" s="25">
        <f t="shared" ref="BU2:BU38" si="0">AX2-BT2</f>
        <v>0.9699999988079071</v>
      </c>
      <c r="BV2" s="128" t="s">
        <v>190</v>
      </c>
      <c r="BW2" s="129" t="s">
        <v>366</v>
      </c>
      <c r="BX2" s="96">
        <v>46157</v>
      </c>
      <c r="BY2" s="25">
        <f t="shared" ref="BY2:BY36" si="1">AX2</f>
        <v>17129942</v>
      </c>
      <c r="BZ2" s="25">
        <v>17129941.030000001</v>
      </c>
      <c r="CA2" s="25">
        <f>BY2-BZ2</f>
        <v>0.9699999988079071</v>
      </c>
      <c r="CB2" s="95" t="s">
        <v>191</v>
      </c>
      <c r="CC2" s="95" t="s">
        <v>192</v>
      </c>
      <c r="CD2" s="95" t="s">
        <v>193</v>
      </c>
      <c r="CK2" s="94" t="s">
        <v>194</v>
      </c>
      <c r="CL2" s="94" t="s">
        <v>195</v>
      </c>
      <c r="CM2" s="94" t="s">
        <v>195</v>
      </c>
      <c r="CN2" s="94" t="s">
        <v>195</v>
      </c>
      <c r="CO2" s="90" t="s">
        <v>195</v>
      </c>
      <c r="CP2" s="90" t="s">
        <v>195</v>
      </c>
    </row>
    <row r="3" spans="1:115" ht="47.25" customHeight="1" x14ac:dyDescent="0.25">
      <c r="A3" s="16">
        <v>2026</v>
      </c>
      <c r="B3" s="17">
        <v>479</v>
      </c>
      <c r="C3" s="18" t="s">
        <v>64</v>
      </c>
      <c r="D3" s="18" t="s">
        <v>65</v>
      </c>
      <c r="E3" s="17">
        <v>125</v>
      </c>
      <c r="F3" s="17">
        <v>3000654</v>
      </c>
      <c r="G3" s="17">
        <v>5005023</v>
      </c>
      <c r="H3" s="17">
        <v>3</v>
      </c>
      <c r="I3" s="17">
        <v>12</v>
      </c>
      <c r="J3" s="17">
        <v>24</v>
      </c>
      <c r="K3" s="17">
        <v>135560</v>
      </c>
      <c r="L3" s="18" t="s">
        <v>66</v>
      </c>
      <c r="M3" s="19" t="s">
        <v>67</v>
      </c>
      <c r="N3" s="16">
        <v>95</v>
      </c>
      <c r="O3" s="1"/>
      <c r="P3" s="1" t="s">
        <v>4</v>
      </c>
      <c r="Q3" s="17" t="s">
        <v>68</v>
      </c>
      <c r="R3" s="22" t="s">
        <v>69</v>
      </c>
      <c r="S3" s="22" t="s">
        <v>76</v>
      </c>
      <c r="T3" s="22"/>
      <c r="U3" s="28" t="s">
        <v>77</v>
      </c>
      <c r="V3" s="22" t="s">
        <v>72</v>
      </c>
      <c r="W3" s="22"/>
      <c r="X3" s="24">
        <v>20000000</v>
      </c>
      <c r="Y3" s="156"/>
      <c r="Z3" s="157"/>
      <c r="AA3" s="157"/>
      <c r="AB3" s="158"/>
      <c r="AC3" s="22"/>
      <c r="AD3" s="22">
        <v>1</v>
      </c>
      <c r="AE3" s="22"/>
      <c r="AF3" s="156"/>
      <c r="AG3" s="157"/>
      <c r="AH3" s="157"/>
      <c r="AI3" s="157"/>
      <c r="AJ3" s="158"/>
      <c r="AK3" s="29">
        <v>20000000</v>
      </c>
      <c r="AL3" s="26" t="s">
        <v>73</v>
      </c>
      <c r="AM3" s="26" t="s">
        <v>73</v>
      </c>
      <c r="AN3" s="26" t="s">
        <v>73</v>
      </c>
      <c r="AO3" s="26" t="s">
        <v>73</v>
      </c>
      <c r="AP3" s="26" t="s">
        <v>73</v>
      </c>
      <c r="AQ3" s="27">
        <v>20000000</v>
      </c>
      <c r="AR3" s="26" t="s">
        <v>73</v>
      </c>
      <c r="AS3" s="26" t="s">
        <v>73</v>
      </c>
      <c r="AT3" s="26" t="s">
        <v>73</v>
      </c>
      <c r="AU3" s="26" t="s">
        <v>73</v>
      </c>
      <c r="AV3" s="26" t="s">
        <v>73</v>
      </c>
      <c r="AW3" s="26" t="s">
        <v>73</v>
      </c>
      <c r="AX3" s="118">
        <f>20000000+43456744</f>
        <v>63456744</v>
      </c>
      <c r="AY3" s="27" t="s">
        <v>7</v>
      </c>
      <c r="AZ3" s="126" t="s">
        <v>74</v>
      </c>
      <c r="BA3" s="126"/>
      <c r="BB3" s="109" t="s">
        <v>75</v>
      </c>
      <c r="BC3" t="s">
        <v>196</v>
      </c>
      <c r="BD3" t="s">
        <v>196</v>
      </c>
      <c r="BE3" t="s">
        <v>197</v>
      </c>
      <c r="BH3" s="28" t="s">
        <v>77</v>
      </c>
      <c r="BI3" s="104" t="s">
        <v>183</v>
      </c>
      <c r="BK3" s="95" t="s">
        <v>184</v>
      </c>
      <c r="BL3" s="96">
        <v>46113</v>
      </c>
      <c r="BM3" s="95" t="s">
        <v>198</v>
      </c>
      <c r="BN3" s="96">
        <v>46150</v>
      </c>
      <c r="BO3" s="95" t="s">
        <v>199</v>
      </c>
      <c r="BP3" s="96">
        <v>46150</v>
      </c>
      <c r="BQ3" s="95" t="s">
        <v>187</v>
      </c>
      <c r="BR3" s="127" t="s">
        <v>367</v>
      </c>
      <c r="BS3" s="130" t="s">
        <v>200</v>
      </c>
      <c r="BT3" s="25">
        <v>63456744</v>
      </c>
      <c r="BU3" s="25">
        <f t="shared" si="0"/>
        <v>0</v>
      </c>
      <c r="BV3" s="131" t="s">
        <v>190</v>
      </c>
      <c r="BW3" s="129" t="s">
        <v>201</v>
      </c>
      <c r="BX3" s="132">
        <v>46178</v>
      </c>
      <c r="BY3" s="25">
        <f t="shared" si="1"/>
        <v>63456744</v>
      </c>
      <c r="BZ3" s="25">
        <f>63456744-712235</f>
        <v>62744509</v>
      </c>
      <c r="CA3" s="25">
        <f t="shared" ref="CA3:CA5" si="2">BY3-BZ3</f>
        <v>712235</v>
      </c>
      <c r="CB3" s="95" t="s">
        <v>202</v>
      </c>
      <c r="CC3" s="95" t="s">
        <v>203</v>
      </c>
      <c r="CD3" s="95" t="s">
        <v>204</v>
      </c>
      <c r="CE3" s="95" t="s">
        <v>205</v>
      </c>
      <c r="CF3" s="95" t="s">
        <v>205</v>
      </c>
      <c r="CG3" s="95" t="s">
        <v>205</v>
      </c>
      <c r="CH3" s="95" t="s">
        <v>205</v>
      </c>
      <c r="CI3" s="95" t="s">
        <v>205</v>
      </c>
      <c r="CJ3" s="95" t="s">
        <v>205</v>
      </c>
      <c r="CK3" s="95" t="s">
        <v>205</v>
      </c>
      <c r="CL3" s="95" t="s">
        <v>205</v>
      </c>
      <c r="CM3" s="95" t="s">
        <v>205</v>
      </c>
      <c r="CN3" s="95" t="s">
        <v>205</v>
      </c>
      <c r="CO3" s="95" t="s">
        <v>205</v>
      </c>
      <c r="CP3" s="95" t="s">
        <v>205</v>
      </c>
    </row>
    <row r="4" spans="1:115" ht="47.25" customHeight="1" x14ac:dyDescent="0.25">
      <c r="A4" s="16">
        <v>2026</v>
      </c>
      <c r="B4" s="17">
        <v>479</v>
      </c>
      <c r="C4" s="18" t="s">
        <v>64</v>
      </c>
      <c r="D4" s="18" t="s">
        <v>65</v>
      </c>
      <c r="E4" s="17">
        <v>125</v>
      </c>
      <c r="F4" s="17">
        <v>3000654</v>
      </c>
      <c r="G4" s="17">
        <v>5005023</v>
      </c>
      <c r="H4" s="17">
        <v>3</v>
      </c>
      <c r="I4" s="17">
        <v>12</v>
      </c>
      <c r="J4" s="17">
        <v>24</v>
      </c>
      <c r="K4" s="17">
        <v>135560</v>
      </c>
      <c r="L4" s="18" t="s">
        <v>66</v>
      </c>
      <c r="M4" s="19" t="s">
        <v>67</v>
      </c>
      <c r="N4" s="16">
        <v>95</v>
      </c>
      <c r="O4" s="1"/>
      <c r="P4" s="1" t="s">
        <v>4</v>
      </c>
      <c r="Q4" s="17" t="s">
        <v>68</v>
      </c>
      <c r="R4" s="22" t="s">
        <v>69</v>
      </c>
      <c r="S4" s="22" t="s">
        <v>70</v>
      </c>
      <c r="T4" s="22"/>
      <c r="U4" s="28" t="s">
        <v>78</v>
      </c>
      <c r="V4" s="22" t="s">
        <v>72</v>
      </c>
      <c r="W4" s="22"/>
      <c r="X4" s="24">
        <v>1169000</v>
      </c>
      <c r="Y4" s="156"/>
      <c r="Z4" s="157"/>
      <c r="AA4" s="157"/>
      <c r="AB4" s="158"/>
      <c r="AC4" s="22"/>
      <c r="AD4" s="22">
        <v>1</v>
      </c>
      <c r="AE4" s="22"/>
      <c r="AF4" s="156"/>
      <c r="AG4" s="157"/>
      <c r="AH4" s="157"/>
      <c r="AI4" s="157"/>
      <c r="AJ4" s="158"/>
      <c r="AK4" s="29">
        <v>1169000</v>
      </c>
      <c r="AL4" s="26" t="s">
        <v>73</v>
      </c>
      <c r="AM4" s="26" t="s">
        <v>73</v>
      </c>
      <c r="AN4" s="26" t="s">
        <v>73</v>
      </c>
      <c r="AO4" s="26" t="s">
        <v>73</v>
      </c>
      <c r="AP4" s="26" t="s">
        <v>73</v>
      </c>
      <c r="AQ4" s="27">
        <v>1169000</v>
      </c>
      <c r="AR4" s="26" t="s">
        <v>73</v>
      </c>
      <c r="AS4" s="26" t="s">
        <v>73</v>
      </c>
      <c r="AT4" s="26" t="s">
        <v>73</v>
      </c>
      <c r="AU4" s="26" t="s">
        <v>73</v>
      </c>
      <c r="AV4" s="26" t="s">
        <v>73</v>
      </c>
      <c r="AW4" s="26" t="s">
        <v>73</v>
      </c>
      <c r="AX4" s="118">
        <v>1169000</v>
      </c>
      <c r="AY4" s="27" t="s">
        <v>7</v>
      </c>
      <c r="AZ4" s="126" t="s">
        <v>74</v>
      </c>
      <c r="BA4" s="126"/>
      <c r="BB4" s="109" t="s">
        <v>75</v>
      </c>
      <c r="BH4" s="28" t="s">
        <v>78</v>
      </c>
      <c r="BI4" s="104" t="s">
        <v>206</v>
      </c>
      <c r="BK4" s="95" t="s">
        <v>184</v>
      </c>
      <c r="BL4" s="96">
        <v>46113</v>
      </c>
      <c r="BM4" s="95" t="s">
        <v>207</v>
      </c>
      <c r="BN4" s="96" t="s">
        <v>208</v>
      </c>
      <c r="BO4" s="95" t="s">
        <v>209</v>
      </c>
      <c r="BP4" s="96">
        <v>46149</v>
      </c>
      <c r="BQ4" s="95" t="s">
        <v>187</v>
      </c>
      <c r="BR4" s="127" t="s">
        <v>210</v>
      </c>
      <c r="BS4" s="133" t="s">
        <v>211</v>
      </c>
      <c r="BT4" s="134">
        <v>303062.5</v>
      </c>
      <c r="BU4" s="134">
        <f t="shared" si="0"/>
        <v>865937.5</v>
      </c>
      <c r="BV4" s="135" t="s">
        <v>190</v>
      </c>
      <c r="BW4" s="135" t="s">
        <v>365</v>
      </c>
      <c r="BX4" s="96">
        <v>46157</v>
      </c>
      <c r="BY4" s="25">
        <f>AX4</f>
        <v>1169000</v>
      </c>
      <c r="BZ4" s="25">
        <v>303062.5</v>
      </c>
      <c r="CA4" s="25">
        <f t="shared" si="2"/>
        <v>865937.5</v>
      </c>
      <c r="CB4" s="95" t="s">
        <v>212</v>
      </c>
      <c r="CC4" s="95" t="s">
        <v>213</v>
      </c>
      <c r="CD4" s="95" t="s">
        <v>214</v>
      </c>
      <c r="CK4" s="94" t="s">
        <v>205</v>
      </c>
      <c r="CL4" s="94" t="s">
        <v>205</v>
      </c>
      <c r="CM4" s="94" t="s">
        <v>205</v>
      </c>
      <c r="CN4" s="94" t="s">
        <v>205</v>
      </c>
    </row>
    <row r="5" spans="1:115" ht="47.25" customHeight="1" x14ac:dyDescent="0.25">
      <c r="A5" s="16">
        <v>2026</v>
      </c>
      <c r="B5" s="17">
        <v>479</v>
      </c>
      <c r="C5" s="18" t="s">
        <v>64</v>
      </c>
      <c r="D5" s="18" t="s">
        <v>65</v>
      </c>
      <c r="E5" s="17">
        <v>125</v>
      </c>
      <c r="F5" s="17">
        <v>3000654</v>
      </c>
      <c r="G5" s="17">
        <v>5005023</v>
      </c>
      <c r="H5" s="17">
        <v>3</v>
      </c>
      <c r="I5" s="17">
        <v>12</v>
      </c>
      <c r="J5" s="17">
        <v>24</v>
      </c>
      <c r="K5" s="17">
        <v>135560</v>
      </c>
      <c r="L5" s="18" t="s">
        <v>66</v>
      </c>
      <c r="M5" s="19" t="s">
        <v>67</v>
      </c>
      <c r="N5" s="16">
        <v>95</v>
      </c>
      <c r="O5" s="1"/>
      <c r="P5" s="1" t="s">
        <v>4</v>
      </c>
      <c r="Q5" s="17" t="s">
        <v>68</v>
      </c>
      <c r="R5" s="22" t="s">
        <v>69</v>
      </c>
      <c r="S5" s="22" t="s">
        <v>70</v>
      </c>
      <c r="T5" s="22"/>
      <c r="U5" s="28" t="s">
        <v>79</v>
      </c>
      <c r="V5" s="22" t="s">
        <v>72</v>
      </c>
      <c r="W5" s="22"/>
      <c r="X5" s="24">
        <v>2500000</v>
      </c>
      <c r="Y5" s="156"/>
      <c r="Z5" s="157"/>
      <c r="AA5" s="157"/>
      <c r="AB5" s="158"/>
      <c r="AC5" s="22"/>
      <c r="AD5" s="22">
        <v>1</v>
      </c>
      <c r="AE5" s="22"/>
      <c r="AF5" s="156"/>
      <c r="AG5" s="157"/>
      <c r="AH5" s="157"/>
      <c r="AI5" s="157"/>
      <c r="AJ5" s="158"/>
      <c r="AK5" s="29">
        <v>2500000</v>
      </c>
      <c r="AL5" s="26" t="s">
        <v>73</v>
      </c>
      <c r="AM5" s="26" t="s">
        <v>73</v>
      </c>
      <c r="AN5" s="26" t="s">
        <v>73</v>
      </c>
      <c r="AO5" s="26" t="s">
        <v>73</v>
      </c>
      <c r="AP5" s="26" t="s">
        <v>73</v>
      </c>
      <c r="AQ5" s="27">
        <v>2500000</v>
      </c>
      <c r="AR5" s="26" t="s">
        <v>73</v>
      </c>
      <c r="AS5" s="26" t="s">
        <v>73</v>
      </c>
      <c r="AT5" s="26" t="s">
        <v>73</v>
      </c>
      <c r="AU5" s="26" t="s">
        <v>73</v>
      </c>
      <c r="AV5" s="26" t="s">
        <v>73</v>
      </c>
      <c r="AW5" s="26" t="s">
        <v>73</v>
      </c>
      <c r="AX5" s="118">
        <f>2500000+2022146</f>
        <v>4522146</v>
      </c>
      <c r="AY5" s="27" t="s">
        <v>7</v>
      </c>
      <c r="AZ5" s="126" t="s">
        <v>74</v>
      </c>
      <c r="BA5" s="126"/>
      <c r="BB5" s="109" t="s">
        <v>75</v>
      </c>
      <c r="BC5" t="s">
        <v>215</v>
      </c>
      <c r="BD5" t="s">
        <v>215</v>
      </c>
      <c r="BE5" t="s">
        <v>216</v>
      </c>
      <c r="BG5" s="51" t="s">
        <v>217</v>
      </c>
      <c r="BH5" s="28" t="s">
        <v>79</v>
      </c>
      <c r="BI5" s="104" t="s">
        <v>206</v>
      </c>
      <c r="BK5" s="95" t="s">
        <v>184</v>
      </c>
      <c r="BL5" s="96">
        <v>46113</v>
      </c>
      <c r="BM5" s="95" t="s">
        <v>218</v>
      </c>
      <c r="BN5" s="96">
        <v>46154</v>
      </c>
      <c r="BO5" s="95" t="s">
        <v>219</v>
      </c>
      <c r="BP5" s="96">
        <v>46155</v>
      </c>
      <c r="BQ5" s="95" t="s">
        <v>187</v>
      </c>
      <c r="BR5" s="127" t="s">
        <v>220</v>
      </c>
      <c r="BS5" s="94" t="s">
        <v>221</v>
      </c>
      <c r="BT5" s="25">
        <v>4522144.09</v>
      </c>
      <c r="BU5" s="25">
        <f t="shared" si="0"/>
        <v>1.9100000001490116</v>
      </c>
      <c r="BV5" s="128" t="s">
        <v>190</v>
      </c>
      <c r="BW5" s="129" t="s">
        <v>222</v>
      </c>
      <c r="BX5" s="96">
        <v>46164</v>
      </c>
      <c r="BY5" s="25">
        <f>AX5</f>
        <v>4522146</v>
      </c>
      <c r="BZ5" s="25">
        <v>4522144.09</v>
      </c>
      <c r="CA5" s="25">
        <f t="shared" si="2"/>
        <v>1.9100000001490116</v>
      </c>
      <c r="CB5" s="95" t="s">
        <v>223</v>
      </c>
      <c r="CC5" s="95" t="s">
        <v>213</v>
      </c>
      <c r="CD5" s="95" t="s">
        <v>224</v>
      </c>
      <c r="CL5" s="95" t="s">
        <v>205</v>
      </c>
      <c r="CM5" s="95" t="s">
        <v>205</v>
      </c>
      <c r="CN5" s="95" t="s">
        <v>205</v>
      </c>
      <c r="CO5" s="95" t="s">
        <v>205</v>
      </c>
      <c r="CP5" s="95" t="s">
        <v>205</v>
      </c>
    </row>
    <row r="6" spans="1:115" ht="47.25" hidden="1" customHeight="1" x14ac:dyDescent="0.25">
      <c r="A6" s="16">
        <v>2026</v>
      </c>
      <c r="B6" s="17">
        <v>479</v>
      </c>
      <c r="C6" s="18" t="s">
        <v>64</v>
      </c>
      <c r="D6" s="18" t="s">
        <v>65</v>
      </c>
      <c r="E6" s="17">
        <v>125</v>
      </c>
      <c r="F6" s="17">
        <v>3000654</v>
      </c>
      <c r="G6" s="17">
        <v>5005023</v>
      </c>
      <c r="H6" s="17">
        <v>3</v>
      </c>
      <c r="I6" s="17">
        <v>12</v>
      </c>
      <c r="J6" s="17">
        <v>24</v>
      </c>
      <c r="K6" s="17">
        <v>135560</v>
      </c>
      <c r="L6" s="18" t="s">
        <v>66</v>
      </c>
      <c r="M6" s="19" t="s">
        <v>67</v>
      </c>
      <c r="N6" s="16">
        <v>95</v>
      </c>
      <c r="O6" s="1"/>
      <c r="P6" s="1" t="s">
        <v>4</v>
      </c>
      <c r="Q6" s="17" t="s">
        <v>68</v>
      </c>
      <c r="R6" s="22" t="s">
        <v>69</v>
      </c>
      <c r="S6" s="22" t="s">
        <v>80</v>
      </c>
      <c r="T6" s="22"/>
      <c r="U6" s="28" t="s">
        <v>81</v>
      </c>
      <c r="V6" s="22" t="s">
        <v>72</v>
      </c>
      <c r="W6" s="22"/>
      <c r="X6" s="24">
        <v>40000</v>
      </c>
      <c r="Y6" s="156"/>
      <c r="Z6" s="157"/>
      <c r="AA6" s="157"/>
      <c r="AB6" s="158"/>
      <c r="AC6" s="22"/>
      <c r="AD6" s="22">
        <v>1</v>
      </c>
      <c r="AE6" s="22"/>
      <c r="AF6" s="156"/>
      <c r="AG6" s="157"/>
      <c r="AH6" s="157"/>
      <c r="AI6" s="157"/>
      <c r="AJ6" s="158"/>
      <c r="AK6" s="29">
        <v>40000</v>
      </c>
      <c r="AL6" s="26" t="s">
        <v>73</v>
      </c>
      <c r="AM6" s="26" t="s">
        <v>73</v>
      </c>
      <c r="AN6" s="26" t="s">
        <v>73</v>
      </c>
      <c r="AO6" s="26" t="s">
        <v>73</v>
      </c>
      <c r="AP6" s="26" t="s">
        <v>73</v>
      </c>
      <c r="AQ6" s="27">
        <v>40000</v>
      </c>
      <c r="AR6" s="26" t="s">
        <v>73</v>
      </c>
      <c r="AS6" s="26" t="s">
        <v>73</v>
      </c>
      <c r="AT6" s="26" t="s">
        <v>73</v>
      </c>
      <c r="AU6" s="26" t="s">
        <v>73</v>
      </c>
      <c r="AV6" s="26" t="s">
        <v>73</v>
      </c>
      <c r="AW6" s="26" t="s">
        <v>73</v>
      </c>
      <c r="AX6" s="118">
        <v>40000</v>
      </c>
      <c r="AY6" s="27" t="s">
        <v>7</v>
      </c>
      <c r="AZ6" s="126" t="s">
        <v>74</v>
      </c>
      <c r="BA6" s="126"/>
      <c r="BB6" s="109" t="s">
        <v>75</v>
      </c>
      <c r="BH6" s="28" t="s">
        <v>81</v>
      </c>
      <c r="BL6" s="96"/>
      <c r="BN6" s="96"/>
      <c r="BP6" s="96"/>
      <c r="BQ6" s="95" t="s">
        <v>225</v>
      </c>
      <c r="BR6" s="136"/>
      <c r="BT6" s="25"/>
      <c r="BU6" s="25">
        <f t="shared" si="0"/>
        <v>40000</v>
      </c>
      <c r="BV6" s="137" t="s">
        <v>225</v>
      </c>
      <c r="BW6" s="129"/>
      <c r="BY6" s="25">
        <f t="shared" si="1"/>
        <v>40000</v>
      </c>
      <c r="BZ6" s="25"/>
      <c r="CA6" s="25">
        <f t="shared" ref="CA6:CA39" si="3">BY6-BZ6</f>
        <v>40000</v>
      </c>
    </row>
    <row r="7" spans="1:115" ht="47.25" customHeight="1" x14ac:dyDescent="0.25">
      <c r="A7" s="16">
        <v>2026</v>
      </c>
      <c r="B7" s="17">
        <v>479</v>
      </c>
      <c r="C7" s="18" t="s">
        <v>64</v>
      </c>
      <c r="D7" s="18" t="s">
        <v>65</v>
      </c>
      <c r="E7" s="17">
        <v>125</v>
      </c>
      <c r="F7" s="17">
        <v>3000654</v>
      </c>
      <c r="G7" s="17">
        <v>5005023</v>
      </c>
      <c r="H7" s="17">
        <v>3</v>
      </c>
      <c r="I7" s="17">
        <v>12</v>
      </c>
      <c r="J7" s="17">
        <v>24</v>
      </c>
      <c r="K7" s="17">
        <v>135560</v>
      </c>
      <c r="L7" s="18" t="s">
        <v>82</v>
      </c>
      <c r="M7" s="30" t="s">
        <v>83</v>
      </c>
      <c r="N7" s="16">
        <v>96</v>
      </c>
      <c r="O7" s="1"/>
      <c r="P7" s="1" t="s">
        <v>4</v>
      </c>
      <c r="Q7" s="17" t="s">
        <v>68</v>
      </c>
      <c r="R7" s="22" t="s">
        <v>69</v>
      </c>
      <c r="S7" s="22" t="s">
        <v>80</v>
      </c>
      <c r="T7" s="22"/>
      <c r="U7" s="28" t="s">
        <v>84</v>
      </c>
      <c r="V7" s="22" t="s">
        <v>72</v>
      </c>
      <c r="W7" s="22"/>
      <c r="X7" s="24">
        <v>45000</v>
      </c>
      <c r="Y7" s="156"/>
      <c r="Z7" s="157"/>
      <c r="AA7" s="157"/>
      <c r="AB7" s="158"/>
      <c r="AC7" s="22"/>
      <c r="AD7" s="22">
        <v>1</v>
      </c>
      <c r="AE7" s="22"/>
      <c r="AF7" s="156"/>
      <c r="AG7" s="157"/>
      <c r="AH7" s="157"/>
      <c r="AI7" s="157"/>
      <c r="AJ7" s="158"/>
      <c r="AK7" s="29">
        <v>45000</v>
      </c>
      <c r="AL7" s="26" t="s">
        <v>73</v>
      </c>
      <c r="AM7" s="26" t="s">
        <v>73</v>
      </c>
      <c r="AN7" s="26" t="s">
        <v>73</v>
      </c>
      <c r="AO7" s="26" t="s">
        <v>73</v>
      </c>
      <c r="AP7" s="26" t="s">
        <v>73</v>
      </c>
      <c r="AQ7" s="27">
        <v>45000</v>
      </c>
      <c r="AR7" s="26" t="s">
        <v>73</v>
      </c>
      <c r="AS7" s="26" t="s">
        <v>73</v>
      </c>
      <c r="AT7" s="26" t="s">
        <v>73</v>
      </c>
      <c r="AU7" s="26" t="s">
        <v>73</v>
      </c>
      <c r="AV7" s="26" t="s">
        <v>73</v>
      </c>
      <c r="AW7" s="26" t="s">
        <v>73</v>
      </c>
      <c r="AX7" s="118">
        <v>45000</v>
      </c>
      <c r="AY7" s="31" t="s">
        <v>7</v>
      </c>
      <c r="AZ7" s="126" t="s">
        <v>74</v>
      </c>
      <c r="BA7" s="126"/>
      <c r="BB7" s="109" t="s">
        <v>75</v>
      </c>
      <c r="BH7" s="28" t="s">
        <v>84</v>
      </c>
      <c r="BI7" s="104">
        <v>1860</v>
      </c>
      <c r="BJ7" s="106" t="s">
        <v>226</v>
      </c>
      <c r="BK7" s="95" t="s">
        <v>227</v>
      </c>
      <c r="BL7" s="96">
        <v>46142</v>
      </c>
      <c r="BM7" s="95" t="s">
        <v>228</v>
      </c>
      <c r="BN7" s="96">
        <v>46146</v>
      </c>
      <c r="BO7" s="95" t="s">
        <v>229</v>
      </c>
      <c r="BP7" s="96">
        <v>46148</v>
      </c>
      <c r="BQ7" s="95" t="s">
        <v>187</v>
      </c>
      <c r="BR7" s="136" t="s">
        <v>230</v>
      </c>
      <c r="BS7" t="s">
        <v>231</v>
      </c>
      <c r="BT7" s="25">
        <v>32000</v>
      </c>
      <c r="BU7" s="25">
        <f t="shared" si="0"/>
        <v>13000</v>
      </c>
      <c r="BV7" s="131" t="s">
        <v>190</v>
      </c>
      <c r="BW7" s="138" t="s">
        <v>232</v>
      </c>
      <c r="BX7" s="139">
        <v>46167</v>
      </c>
      <c r="BY7" s="25">
        <f t="shared" si="1"/>
        <v>45000</v>
      </c>
      <c r="BZ7" s="25">
        <v>32000</v>
      </c>
      <c r="CA7" s="25">
        <f>BY7-BZ7</f>
        <v>13000</v>
      </c>
      <c r="CB7" s="107" t="s">
        <v>233</v>
      </c>
      <c r="CC7" s="107"/>
      <c r="CD7" s="107" t="s">
        <v>234</v>
      </c>
      <c r="CE7" t="s">
        <v>235</v>
      </c>
      <c r="CF7" t="s">
        <v>236</v>
      </c>
      <c r="CG7" t="s">
        <v>236</v>
      </c>
      <c r="CH7" t="s">
        <v>236</v>
      </c>
      <c r="CI7" t="s">
        <v>236</v>
      </c>
      <c r="CJ7" t="s">
        <v>236</v>
      </c>
      <c r="CK7" s="136" t="s">
        <v>237</v>
      </c>
      <c r="CL7" t="s">
        <v>195</v>
      </c>
      <c r="CM7" t="s">
        <v>195</v>
      </c>
      <c r="CN7" t="s">
        <v>205</v>
      </c>
      <c r="CO7" t="s">
        <v>205</v>
      </c>
      <c r="CP7" t="s">
        <v>238</v>
      </c>
      <c r="CQ7"/>
      <c r="CR7"/>
      <c r="CS7"/>
      <c r="CT7"/>
      <c r="CU7"/>
      <c r="CV7"/>
      <c r="CW7"/>
      <c r="CX7"/>
      <c r="CY7"/>
      <c r="CZ7"/>
      <c r="DA7"/>
      <c r="DB7"/>
      <c r="DC7"/>
      <c r="DD7"/>
      <c r="DE7"/>
      <c r="DF7"/>
      <c r="DG7"/>
      <c r="DH7"/>
      <c r="DI7"/>
      <c r="DJ7"/>
      <c r="DK7"/>
    </row>
    <row r="8" spans="1:115" ht="47.25" hidden="1" customHeight="1" x14ac:dyDescent="0.25">
      <c r="A8" s="16">
        <v>2026</v>
      </c>
      <c r="B8" s="17">
        <v>479</v>
      </c>
      <c r="C8" s="18" t="s">
        <v>64</v>
      </c>
      <c r="D8" s="18" t="s">
        <v>65</v>
      </c>
      <c r="E8" s="17">
        <v>125</v>
      </c>
      <c r="F8" s="17">
        <v>3000654</v>
      </c>
      <c r="G8" s="17">
        <v>5005023</v>
      </c>
      <c r="H8" s="17">
        <v>3</v>
      </c>
      <c r="I8" s="17">
        <v>12</v>
      </c>
      <c r="J8" s="17">
        <v>24</v>
      </c>
      <c r="K8" s="17">
        <v>135560</v>
      </c>
      <c r="L8" s="18" t="s">
        <v>66</v>
      </c>
      <c r="M8" s="19" t="s">
        <v>67</v>
      </c>
      <c r="N8" s="16">
        <v>95</v>
      </c>
      <c r="O8" s="1"/>
      <c r="P8" s="1" t="s">
        <v>4</v>
      </c>
      <c r="Q8" s="17" t="s">
        <v>68</v>
      </c>
      <c r="R8" s="22" t="s">
        <v>69</v>
      </c>
      <c r="S8" s="22" t="s">
        <v>85</v>
      </c>
      <c r="T8" s="22">
        <v>942500010040</v>
      </c>
      <c r="U8" s="28" t="s">
        <v>86</v>
      </c>
      <c r="V8" s="22" t="s">
        <v>72</v>
      </c>
      <c r="W8" s="22"/>
      <c r="X8" s="24">
        <v>70000</v>
      </c>
      <c r="Y8" s="156"/>
      <c r="Z8" s="157"/>
      <c r="AA8" s="157"/>
      <c r="AB8" s="158"/>
      <c r="AC8" s="22"/>
      <c r="AD8" s="22">
        <v>1</v>
      </c>
      <c r="AE8" s="22"/>
      <c r="AF8" s="156"/>
      <c r="AG8" s="157"/>
      <c r="AH8" s="157"/>
      <c r="AI8" s="157"/>
      <c r="AJ8" s="158"/>
      <c r="AK8" s="29">
        <v>70000</v>
      </c>
      <c r="AL8" s="26" t="s">
        <v>73</v>
      </c>
      <c r="AM8" s="26" t="s">
        <v>73</v>
      </c>
      <c r="AN8" s="26" t="s">
        <v>73</v>
      </c>
      <c r="AO8" s="26" t="s">
        <v>73</v>
      </c>
      <c r="AP8" s="26" t="s">
        <v>73</v>
      </c>
      <c r="AQ8" s="27">
        <v>70000</v>
      </c>
      <c r="AR8" s="26" t="s">
        <v>73</v>
      </c>
      <c r="AS8" s="26" t="s">
        <v>73</v>
      </c>
      <c r="AT8" s="26" t="s">
        <v>73</v>
      </c>
      <c r="AU8" s="26" t="s">
        <v>73</v>
      </c>
      <c r="AV8" s="26" t="s">
        <v>73</v>
      </c>
      <c r="AW8" s="26" t="s">
        <v>73</v>
      </c>
      <c r="AX8" s="118">
        <v>70000</v>
      </c>
      <c r="AY8" s="27" t="s">
        <v>7</v>
      </c>
      <c r="AZ8" s="126" t="s">
        <v>74</v>
      </c>
      <c r="BA8" s="126"/>
      <c r="BB8" s="109" t="s">
        <v>75</v>
      </c>
      <c r="BH8" s="28" t="s">
        <v>87</v>
      </c>
      <c r="BJ8" s="106"/>
      <c r="BL8" s="96"/>
      <c r="BN8" s="96"/>
      <c r="BP8" s="96"/>
      <c r="BQ8" s="95" t="s">
        <v>225</v>
      </c>
      <c r="BR8" s="94"/>
      <c r="BT8" s="25"/>
      <c r="BU8" s="25">
        <f t="shared" si="0"/>
        <v>70000</v>
      </c>
      <c r="BV8" s="137" t="s">
        <v>225</v>
      </c>
      <c r="BW8" s="129"/>
      <c r="BY8" s="25">
        <f t="shared" si="1"/>
        <v>70000</v>
      </c>
      <c r="BZ8" s="25"/>
      <c r="CA8" s="25">
        <f t="shared" si="3"/>
        <v>70000</v>
      </c>
    </row>
    <row r="9" spans="1:115" ht="47.25" customHeight="1" x14ac:dyDescent="0.25">
      <c r="A9" s="16">
        <v>2026</v>
      </c>
      <c r="B9" s="17">
        <v>479</v>
      </c>
      <c r="C9" s="18" t="s">
        <v>64</v>
      </c>
      <c r="D9" s="18" t="s">
        <v>65</v>
      </c>
      <c r="E9" s="17">
        <v>125</v>
      </c>
      <c r="F9" s="17">
        <v>3000654</v>
      </c>
      <c r="G9" s="17">
        <v>5005023</v>
      </c>
      <c r="H9" s="17">
        <v>3</v>
      </c>
      <c r="I9" s="17">
        <v>12</v>
      </c>
      <c r="J9" s="17">
        <v>24</v>
      </c>
      <c r="K9" s="17">
        <v>135560</v>
      </c>
      <c r="L9" s="18" t="s">
        <v>66</v>
      </c>
      <c r="M9" s="19" t="s">
        <v>67</v>
      </c>
      <c r="N9" s="16">
        <v>95</v>
      </c>
      <c r="O9" s="1"/>
      <c r="P9" s="1" t="s">
        <v>4</v>
      </c>
      <c r="Q9" s="17" t="s">
        <v>68</v>
      </c>
      <c r="R9" s="22" t="s">
        <v>69</v>
      </c>
      <c r="S9" s="22" t="s">
        <v>80</v>
      </c>
      <c r="T9" s="22"/>
      <c r="U9" s="28" t="s">
        <v>88</v>
      </c>
      <c r="V9" s="22" t="s">
        <v>72</v>
      </c>
      <c r="W9" s="22"/>
      <c r="X9" s="24">
        <v>420000</v>
      </c>
      <c r="Y9" s="156"/>
      <c r="Z9" s="157"/>
      <c r="AA9" s="157"/>
      <c r="AB9" s="158"/>
      <c r="AC9" s="22"/>
      <c r="AD9" s="22">
        <v>1</v>
      </c>
      <c r="AE9" s="22"/>
      <c r="AF9" s="156"/>
      <c r="AG9" s="157"/>
      <c r="AH9" s="157"/>
      <c r="AI9" s="157"/>
      <c r="AJ9" s="158"/>
      <c r="AK9" s="29">
        <v>420000</v>
      </c>
      <c r="AL9" s="26" t="s">
        <v>73</v>
      </c>
      <c r="AM9" s="26" t="s">
        <v>73</v>
      </c>
      <c r="AN9" s="26" t="s">
        <v>73</v>
      </c>
      <c r="AO9" s="26" t="s">
        <v>73</v>
      </c>
      <c r="AP9" s="26" t="s">
        <v>73</v>
      </c>
      <c r="AQ9" s="27">
        <v>420000</v>
      </c>
      <c r="AR9" s="26" t="s">
        <v>73</v>
      </c>
      <c r="AS9" s="26" t="s">
        <v>73</v>
      </c>
      <c r="AT9" s="26" t="s">
        <v>73</v>
      </c>
      <c r="AU9" s="26" t="s">
        <v>73</v>
      </c>
      <c r="AV9" s="26" t="s">
        <v>73</v>
      </c>
      <c r="AW9" s="26" t="s">
        <v>73</v>
      </c>
      <c r="AX9" s="118">
        <v>420000</v>
      </c>
      <c r="AY9" s="27" t="s">
        <v>7</v>
      </c>
      <c r="AZ9" s="126" t="s">
        <v>74</v>
      </c>
      <c r="BA9" s="126"/>
      <c r="BB9" s="109" t="s">
        <v>75</v>
      </c>
      <c r="BH9" s="28" t="s">
        <v>88</v>
      </c>
      <c r="BI9" s="104" t="s">
        <v>206</v>
      </c>
      <c r="BJ9" s="106"/>
      <c r="BK9" s="95" t="s">
        <v>184</v>
      </c>
      <c r="BL9" s="96">
        <v>46113</v>
      </c>
      <c r="BM9" s="95" t="s">
        <v>239</v>
      </c>
      <c r="BN9" s="96">
        <v>46147</v>
      </c>
      <c r="BO9" s="95" t="s">
        <v>240</v>
      </c>
      <c r="BP9" s="96">
        <v>46149</v>
      </c>
      <c r="BQ9" s="95" t="s">
        <v>187</v>
      </c>
      <c r="BR9" s="127" t="s">
        <v>241</v>
      </c>
      <c r="BS9" s="94" t="s">
        <v>242</v>
      </c>
      <c r="BT9" s="25">
        <v>152598.47</v>
      </c>
      <c r="BU9" s="25">
        <f t="shared" si="0"/>
        <v>267401.53000000003</v>
      </c>
      <c r="BV9" s="128" t="s">
        <v>190</v>
      </c>
      <c r="BW9" s="140" t="s">
        <v>243</v>
      </c>
      <c r="BX9" s="96">
        <v>46162</v>
      </c>
      <c r="BY9" s="25">
        <f t="shared" si="1"/>
        <v>420000</v>
      </c>
      <c r="BZ9" s="25">
        <v>152598.47</v>
      </c>
      <c r="CA9" s="25">
        <f>BY9-BZ9</f>
        <v>267401.53000000003</v>
      </c>
      <c r="CB9" s="95" t="s">
        <v>244</v>
      </c>
      <c r="CC9" s="95" t="s">
        <v>213</v>
      </c>
      <c r="CD9" s="95" t="s">
        <v>245</v>
      </c>
      <c r="CK9" s="94" t="s">
        <v>205</v>
      </c>
      <c r="CL9" s="94" t="s">
        <v>205</v>
      </c>
      <c r="CM9" s="94" t="s">
        <v>205</v>
      </c>
      <c r="CN9" s="94" t="s">
        <v>205</v>
      </c>
      <c r="CO9" s="94" t="s">
        <v>205</v>
      </c>
    </row>
    <row r="10" spans="1:115" ht="47.25" hidden="1" customHeight="1" x14ac:dyDescent="0.25">
      <c r="A10" s="16">
        <v>2026</v>
      </c>
      <c r="B10" s="17">
        <v>479</v>
      </c>
      <c r="C10" s="18" t="s">
        <v>64</v>
      </c>
      <c r="D10" s="18" t="s">
        <v>65</v>
      </c>
      <c r="E10" s="17">
        <v>125</v>
      </c>
      <c r="F10" s="17">
        <v>3000654</v>
      </c>
      <c r="G10" s="17">
        <v>5005023</v>
      </c>
      <c r="H10" s="17">
        <v>3</v>
      </c>
      <c r="I10" s="17">
        <v>12</v>
      </c>
      <c r="J10" s="17">
        <v>24</v>
      </c>
      <c r="K10" s="17">
        <v>135560</v>
      </c>
      <c r="L10" s="18" t="s">
        <v>66</v>
      </c>
      <c r="M10" s="19" t="s">
        <v>67</v>
      </c>
      <c r="N10" s="16">
        <v>95</v>
      </c>
      <c r="O10" s="1"/>
      <c r="P10" s="1" t="s">
        <v>4</v>
      </c>
      <c r="Q10" s="17" t="s">
        <v>68</v>
      </c>
      <c r="R10" s="22" t="s">
        <v>69</v>
      </c>
      <c r="S10" s="22" t="s">
        <v>89</v>
      </c>
      <c r="T10" s="22">
        <v>940100030022</v>
      </c>
      <c r="U10" s="28" t="s">
        <v>90</v>
      </c>
      <c r="V10" s="22" t="s">
        <v>72</v>
      </c>
      <c r="W10" s="22"/>
      <c r="X10" s="24">
        <v>40000</v>
      </c>
      <c r="Y10" s="156"/>
      <c r="Z10" s="157"/>
      <c r="AA10" s="157"/>
      <c r="AB10" s="158"/>
      <c r="AC10" s="22"/>
      <c r="AD10" s="22">
        <v>1</v>
      </c>
      <c r="AE10" s="22">
        <v>1</v>
      </c>
      <c r="AF10" s="156"/>
      <c r="AG10" s="157"/>
      <c r="AH10" s="157"/>
      <c r="AI10" s="157"/>
      <c r="AJ10" s="159"/>
      <c r="AK10" s="32">
        <v>80000</v>
      </c>
      <c r="AL10" s="26" t="s">
        <v>73</v>
      </c>
      <c r="AM10" s="26" t="s">
        <v>73</v>
      </c>
      <c r="AN10" s="26" t="s">
        <v>73</v>
      </c>
      <c r="AO10" s="26" t="s">
        <v>73</v>
      </c>
      <c r="AP10" s="26" t="s">
        <v>73</v>
      </c>
      <c r="AQ10" s="27">
        <v>40000</v>
      </c>
      <c r="AR10" s="27">
        <v>40000</v>
      </c>
      <c r="AS10" s="26" t="s">
        <v>73</v>
      </c>
      <c r="AT10" s="26" t="s">
        <v>73</v>
      </c>
      <c r="AU10" s="26" t="s">
        <v>73</v>
      </c>
      <c r="AV10" s="26" t="s">
        <v>73</v>
      </c>
      <c r="AW10" s="26" t="s">
        <v>73</v>
      </c>
      <c r="AX10" s="118">
        <f>80000-40000</f>
        <v>40000</v>
      </c>
      <c r="AY10" s="27" t="s">
        <v>7</v>
      </c>
      <c r="AZ10" s="126" t="s">
        <v>74</v>
      </c>
      <c r="BA10" s="126"/>
      <c r="BB10" s="109" t="s">
        <v>75</v>
      </c>
      <c r="BH10" s="141" t="s">
        <v>90</v>
      </c>
      <c r="BJ10" s="106"/>
      <c r="BL10" s="96"/>
      <c r="BN10" s="96"/>
      <c r="BP10" s="96"/>
      <c r="BQ10" s="95" t="s">
        <v>225</v>
      </c>
      <c r="BR10" s="94"/>
      <c r="BT10" s="25"/>
      <c r="BU10" s="25">
        <f t="shared" si="0"/>
        <v>40000</v>
      </c>
      <c r="BV10" s="137" t="s">
        <v>225</v>
      </c>
      <c r="BW10" s="129"/>
      <c r="BY10" s="25">
        <f t="shared" si="1"/>
        <v>40000</v>
      </c>
      <c r="BZ10" s="25"/>
      <c r="CA10" s="25">
        <f t="shared" si="3"/>
        <v>40000</v>
      </c>
    </row>
    <row r="11" spans="1:115" ht="47.25" customHeight="1" x14ac:dyDescent="0.25">
      <c r="A11" s="16">
        <v>2026</v>
      </c>
      <c r="B11" s="17">
        <v>479</v>
      </c>
      <c r="C11" s="18" t="s">
        <v>64</v>
      </c>
      <c r="D11" s="18" t="s">
        <v>65</v>
      </c>
      <c r="E11" s="17">
        <v>125</v>
      </c>
      <c r="F11" s="17">
        <v>3000654</v>
      </c>
      <c r="G11" s="17">
        <v>5005023</v>
      </c>
      <c r="H11" s="17">
        <v>3</v>
      </c>
      <c r="I11" s="17">
        <v>12</v>
      </c>
      <c r="J11" s="17">
        <v>24</v>
      </c>
      <c r="K11" s="17">
        <v>135560</v>
      </c>
      <c r="L11" s="18" t="s">
        <v>66</v>
      </c>
      <c r="M11" s="19" t="s">
        <v>67</v>
      </c>
      <c r="N11" s="16">
        <v>95</v>
      </c>
      <c r="O11" s="1"/>
      <c r="P11" s="1" t="s">
        <v>4</v>
      </c>
      <c r="Q11" s="17" t="s">
        <v>68</v>
      </c>
      <c r="R11" s="22" t="s">
        <v>69</v>
      </c>
      <c r="S11" s="22" t="s">
        <v>89</v>
      </c>
      <c r="T11" s="22">
        <v>940100030047</v>
      </c>
      <c r="U11" s="28" t="s">
        <v>91</v>
      </c>
      <c r="V11" s="22" t="s">
        <v>72</v>
      </c>
      <c r="W11" s="22"/>
      <c r="X11" s="24">
        <v>25000</v>
      </c>
      <c r="Y11" s="156"/>
      <c r="Z11" s="157"/>
      <c r="AA11" s="157"/>
      <c r="AB11" s="158"/>
      <c r="AC11" s="22"/>
      <c r="AD11" s="22">
        <v>1</v>
      </c>
      <c r="AE11" s="22"/>
      <c r="AF11" s="156"/>
      <c r="AG11" s="157"/>
      <c r="AH11" s="157"/>
      <c r="AI11" s="157"/>
      <c r="AJ11" s="159"/>
      <c r="AK11" s="32">
        <v>25000</v>
      </c>
      <c r="AL11" s="26" t="s">
        <v>73</v>
      </c>
      <c r="AM11" s="26" t="s">
        <v>73</v>
      </c>
      <c r="AN11" s="26" t="s">
        <v>73</v>
      </c>
      <c r="AO11" s="26" t="s">
        <v>73</v>
      </c>
      <c r="AP11" s="26" t="s">
        <v>73</v>
      </c>
      <c r="AQ11" s="27">
        <v>25000</v>
      </c>
      <c r="AR11" s="26" t="s">
        <v>73</v>
      </c>
      <c r="AS11" s="26" t="s">
        <v>73</v>
      </c>
      <c r="AT11" s="26" t="s">
        <v>73</v>
      </c>
      <c r="AU11" s="26" t="s">
        <v>73</v>
      </c>
      <c r="AV11" s="26" t="s">
        <v>73</v>
      </c>
      <c r="AW11" s="26" t="s">
        <v>73</v>
      </c>
      <c r="AX11" s="118">
        <v>25000</v>
      </c>
      <c r="AY11" s="27" t="s">
        <v>7</v>
      </c>
      <c r="AZ11" s="126" t="s">
        <v>74</v>
      </c>
      <c r="BA11" s="126"/>
      <c r="BB11" s="109" t="s">
        <v>75</v>
      </c>
      <c r="BH11" s="141" t="s">
        <v>91</v>
      </c>
      <c r="BI11" s="104">
        <v>1577</v>
      </c>
      <c r="BJ11" s="106"/>
      <c r="BK11" s="95" t="s">
        <v>246</v>
      </c>
      <c r="BL11" s="96">
        <v>46136</v>
      </c>
      <c r="BM11" s="95" t="s">
        <v>247</v>
      </c>
      <c r="BN11" s="96">
        <v>46139</v>
      </c>
      <c r="BO11" s="95" t="s">
        <v>248</v>
      </c>
      <c r="BP11" s="96">
        <v>46140</v>
      </c>
      <c r="BQ11" s="95" t="s">
        <v>187</v>
      </c>
      <c r="BR11" s="127" t="s">
        <v>249</v>
      </c>
      <c r="BS11" s="94" t="s">
        <v>250</v>
      </c>
      <c r="BT11" s="25">
        <v>11475</v>
      </c>
      <c r="BU11" s="25">
        <f t="shared" si="0"/>
        <v>13525</v>
      </c>
      <c r="BV11" s="128" t="s">
        <v>190</v>
      </c>
      <c r="BW11" s="129" t="s">
        <v>251</v>
      </c>
      <c r="BX11" s="96">
        <v>46160</v>
      </c>
      <c r="BY11" s="25">
        <f t="shared" si="1"/>
        <v>25000</v>
      </c>
      <c r="BZ11" s="25">
        <v>11475</v>
      </c>
      <c r="CA11" s="25">
        <f>BY11-BZ11</f>
        <v>13525</v>
      </c>
      <c r="CB11" s="95" t="s">
        <v>252</v>
      </c>
      <c r="CD11" s="95" t="s">
        <v>253</v>
      </c>
      <c r="CE11" s="95" t="s">
        <v>371</v>
      </c>
      <c r="CF11" s="96">
        <v>46220</v>
      </c>
      <c r="CK11" s="95" t="s">
        <v>372</v>
      </c>
      <c r="CL11" t="s">
        <v>370</v>
      </c>
      <c r="CM11" s="94" t="s">
        <v>350</v>
      </c>
      <c r="CN11" s="94" t="s">
        <v>176</v>
      </c>
      <c r="CO11" s="94" t="s">
        <v>205</v>
      </c>
      <c r="CP11" s="95" t="s">
        <v>254</v>
      </c>
    </row>
    <row r="12" spans="1:115" ht="47.25" hidden="1" customHeight="1" x14ac:dyDescent="0.25">
      <c r="A12" s="16">
        <v>2026</v>
      </c>
      <c r="B12" s="17">
        <v>479</v>
      </c>
      <c r="C12" s="18" t="s">
        <v>64</v>
      </c>
      <c r="D12" s="18" t="s">
        <v>65</v>
      </c>
      <c r="E12" s="17">
        <v>125</v>
      </c>
      <c r="F12" s="17">
        <v>3000654</v>
      </c>
      <c r="G12" s="17">
        <v>5005023</v>
      </c>
      <c r="H12" s="17">
        <v>3</v>
      </c>
      <c r="I12" s="17">
        <v>12</v>
      </c>
      <c r="J12" s="17">
        <v>24</v>
      </c>
      <c r="K12" s="17">
        <v>135560</v>
      </c>
      <c r="L12" s="18" t="s">
        <v>66</v>
      </c>
      <c r="M12" s="19" t="s">
        <v>67</v>
      </c>
      <c r="N12" s="16">
        <v>95</v>
      </c>
      <c r="O12" s="1"/>
      <c r="P12" s="1" t="s">
        <v>4</v>
      </c>
      <c r="Q12" s="17" t="s">
        <v>68</v>
      </c>
      <c r="R12" s="22" t="s">
        <v>69</v>
      </c>
      <c r="S12" s="22" t="s">
        <v>92</v>
      </c>
      <c r="T12" s="22"/>
      <c r="U12" s="28" t="s">
        <v>93</v>
      </c>
      <c r="V12" s="22" t="s">
        <v>72</v>
      </c>
      <c r="W12" s="22"/>
      <c r="X12" s="24">
        <v>25000</v>
      </c>
      <c r="Y12" s="156"/>
      <c r="Z12" s="157"/>
      <c r="AA12" s="157"/>
      <c r="AB12" s="158"/>
      <c r="AC12" s="22"/>
      <c r="AD12" s="22">
        <v>1</v>
      </c>
      <c r="AE12" s="22"/>
      <c r="AF12" s="156"/>
      <c r="AG12" s="157"/>
      <c r="AH12" s="157"/>
      <c r="AI12" s="157"/>
      <c r="AJ12" s="159"/>
      <c r="AK12" s="32">
        <v>25000</v>
      </c>
      <c r="AL12" s="26" t="s">
        <v>73</v>
      </c>
      <c r="AM12" s="26" t="s">
        <v>73</v>
      </c>
      <c r="AN12" s="26" t="s">
        <v>73</v>
      </c>
      <c r="AO12" s="26" t="s">
        <v>73</v>
      </c>
      <c r="AP12" s="26" t="s">
        <v>73</v>
      </c>
      <c r="AQ12" s="27">
        <v>25000</v>
      </c>
      <c r="AR12" s="26" t="s">
        <v>73</v>
      </c>
      <c r="AS12" s="26" t="s">
        <v>73</v>
      </c>
      <c r="AT12" s="26" t="s">
        <v>73</v>
      </c>
      <c r="AU12" s="26" t="s">
        <v>73</v>
      </c>
      <c r="AV12" s="26" t="s">
        <v>73</v>
      </c>
      <c r="AW12" s="26" t="s">
        <v>73</v>
      </c>
      <c r="AX12" s="118">
        <v>25000</v>
      </c>
      <c r="AY12" s="27" t="s">
        <v>7</v>
      </c>
      <c r="AZ12" s="126" t="s">
        <v>74</v>
      </c>
      <c r="BA12" s="126"/>
      <c r="BB12" s="109" t="s">
        <v>75</v>
      </c>
      <c r="BH12" s="74" t="s">
        <v>94</v>
      </c>
      <c r="BJ12" s="106"/>
      <c r="BL12" s="96"/>
      <c r="BN12" s="96"/>
      <c r="BP12" s="96"/>
      <c r="BQ12" s="95" t="s">
        <v>225</v>
      </c>
      <c r="BR12" s="94"/>
      <c r="BT12" s="25"/>
      <c r="BU12" s="25">
        <f t="shared" si="0"/>
        <v>25000</v>
      </c>
      <c r="BV12" s="137" t="s">
        <v>225</v>
      </c>
      <c r="BW12" s="129"/>
      <c r="BY12" s="25">
        <f t="shared" si="1"/>
        <v>25000</v>
      </c>
      <c r="BZ12" s="25"/>
      <c r="CA12" s="25">
        <f t="shared" si="3"/>
        <v>25000</v>
      </c>
    </row>
    <row r="13" spans="1:115" ht="47.25" hidden="1" customHeight="1" x14ac:dyDescent="0.25">
      <c r="A13" s="16">
        <v>2026</v>
      </c>
      <c r="B13" s="17">
        <v>479</v>
      </c>
      <c r="C13" s="18" t="s">
        <v>64</v>
      </c>
      <c r="D13" s="18" t="s">
        <v>65</v>
      </c>
      <c r="E13" s="17">
        <v>125</v>
      </c>
      <c r="F13" s="17">
        <v>3000654</v>
      </c>
      <c r="G13" s="17">
        <v>5005023</v>
      </c>
      <c r="H13" s="17">
        <v>3</v>
      </c>
      <c r="I13" s="17">
        <v>12</v>
      </c>
      <c r="J13" s="17">
        <v>24</v>
      </c>
      <c r="K13" s="17">
        <v>135560</v>
      </c>
      <c r="L13" s="18" t="s">
        <v>66</v>
      </c>
      <c r="M13" s="19" t="s">
        <v>67</v>
      </c>
      <c r="N13" s="16">
        <v>95</v>
      </c>
      <c r="O13" s="1"/>
      <c r="P13" s="1" t="s">
        <v>4</v>
      </c>
      <c r="Q13" s="17" t="s">
        <v>68</v>
      </c>
      <c r="R13" s="22" t="s">
        <v>69</v>
      </c>
      <c r="S13" s="22" t="s">
        <v>95</v>
      </c>
      <c r="T13" s="22"/>
      <c r="U13" s="28" t="s">
        <v>96</v>
      </c>
      <c r="V13" s="22" t="s">
        <v>72</v>
      </c>
      <c r="W13" s="22"/>
      <c r="X13" s="24">
        <v>30000</v>
      </c>
      <c r="Y13" s="156"/>
      <c r="Z13" s="157"/>
      <c r="AA13" s="157"/>
      <c r="AB13" s="158"/>
      <c r="AC13" s="22"/>
      <c r="AD13" s="22">
        <v>1</v>
      </c>
      <c r="AE13" s="22"/>
      <c r="AF13" s="156"/>
      <c r="AG13" s="157"/>
      <c r="AH13" s="157"/>
      <c r="AI13" s="157"/>
      <c r="AJ13" s="159"/>
      <c r="AK13" s="32">
        <v>30000</v>
      </c>
      <c r="AL13" s="26" t="s">
        <v>73</v>
      </c>
      <c r="AM13" s="26" t="s">
        <v>73</v>
      </c>
      <c r="AN13" s="26" t="s">
        <v>73</v>
      </c>
      <c r="AO13" s="26" t="s">
        <v>73</v>
      </c>
      <c r="AP13" s="26" t="s">
        <v>73</v>
      </c>
      <c r="AQ13" s="27">
        <v>30000</v>
      </c>
      <c r="AR13" s="26" t="s">
        <v>73</v>
      </c>
      <c r="AS13" s="26" t="s">
        <v>73</v>
      </c>
      <c r="AT13" s="26" t="s">
        <v>73</v>
      </c>
      <c r="AU13" s="26" t="s">
        <v>73</v>
      </c>
      <c r="AV13" s="26" t="s">
        <v>73</v>
      </c>
      <c r="AW13" s="26" t="s">
        <v>73</v>
      </c>
      <c r="AX13" s="118">
        <v>30000</v>
      </c>
      <c r="AY13" s="27" t="s">
        <v>7</v>
      </c>
      <c r="AZ13" s="126" t="s">
        <v>74</v>
      </c>
      <c r="BA13" s="126"/>
      <c r="BB13" s="109" t="s">
        <v>75</v>
      </c>
      <c r="BH13" s="28" t="s">
        <v>96</v>
      </c>
      <c r="BI13" s="104">
        <v>1841</v>
      </c>
      <c r="BJ13" s="106" t="s">
        <v>255</v>
      </c>
      <c r="BK13" s="95" t="s">
        <v>256</v>
      </c>
      <c r="BL13" s="96">
        <v>46141</v>
      </c>
      <c r="BM13" s="95" t="s">
        <v>256</v>
      </c>
      <c r="BN13" s="96">
        <v>46141</v>
      </c>
      <c r="BO13" s="95" t="s">
        <v>257</v>
      </c>
      <c r="BP13" s="96">
        <v>46142</v>
      </c>
      <c r="BQ13" s="95" t="s">
        <v>225</v>
      </c>
      <c r="BR13" s="127" t="s">
        <v>258</v>
      </c>
      <c r="BS13" s="94" t="s">
        <v>259</v>
      </c>
      <c r="BT13" s="25">
        <v>18872</v>
      </c>
      <c r="BU13" s="25">
        <f t="shared" si="0"/>
        <v>11128</v>
      </c>
      <c r="BV13" s="137" t="s">
        <v>225</v>
      </c>
      <c r="BW13" s="129"/>
      <c r="BY13" s="25">
        <f t="shared" si="1"/>
        <v>30000</v>
      </c>
      <c r="BZ13" s="25"/>
      <c r="CA13" s="25">
        <f t="shared" si="3"/>
        <v>30000</v>
      </c>
      <c r="CC13" s="95" t="s">
        <v>213</v>
      </c>
    </row>
    <row r="14" spans="1:115" ht="47.25" hidden="1" customHeight="1" x14ac:dyDescent="0.25">
      <c r="A14" s="16">
        <v>2026</v>
      </c>
      <c r="B14" s="17">
        <v>479</v>
      </c>
      <c r="C14" s="18" t="s">
        <v>64</v>
      </c>
      <c r="D14" s="18" t="s">
        <v>65</v>
      </c>
      <c r="E14" s="17">
        <v>125</v>
      </c>
      <c r="F14" s="17">
        <v>3000654</v>
      </c>
      <c r="G14" s="17">
        <v>5005023</v>
      </c>
      <c r="H14" s="17">
        <v>3</v>
      </c>
      <c r="I14" s="17">
        <v>12</v>
      </c>
      <c r="J14" s="17">
        <v>24</v>
      </c>
      <c r="K14" s="17">
        <v>135560</v>
      </c>
      <c r="L14" s="18" t="s">
        <v>66</v>
      </c>
      <c r="M14" s="33" t="s">
        <v>67</v>
      </c>
      <c r="N14" s="16">
        <v>95</v>
      </c>
      <c r="O14" s="1"/>
      <c r="P14" s="1" t="s">
        <v>4</v>
      </c>
      <c r="Q14" s="17" t="s">
        <v>68</v>
      </c>
      <c r="R14" s="22" t="s">
        <v>69</v>
      </c>
      <c r="S14" s="34" t="s">
        <v>95</v>
      </c>
      <c r="T14" s="34"/>
      <c r="U14" s="35" t="s">
        <v>97</v>
      </c>
      <c r="V14" s="34" t="s">
        <v>72</v>
      </c>
      <c r="W14" s="34"/>
      <c r="X14" s="36">
        <v>12800</v>
      </c>
      <c r="Y14" s="156"/>
      <c r="Z14" s="157"/>
      <c r="AA14" s="157"/>
      <c r="AB14" s="158"/>
      <c r="AC14" s="34"/>
      <c r="AD14" s="34">
        <v>1</v>
      </c>
      <c r="AE14" s="34">
        <v>1</v>
      </c>
      <c r="AF14" s="156"/>
      <c r="AG14" s="157"/>
      <c r="AH14" s="157"/>
      <c r="AI14" s="157"/>
      <c r="AJ14" s="159"/>
      <c r="AK14" s="32">
        <v>25600</v>
      </c>
      <c r="AL14" s="26" t="s">
        <v>73</v>
      </c>
      <c r="AM14" s="26" t="s">
        <v>73</v>
      </c>
      <c r="AN14" s="26" t="s">
        <v>73</v>
      </c>
      <c r="AO14" s="26" t="s">
        <v>73</v>
      </c>
      <c r="AP14" s="26" t="s">
        <v>73</v>
      </c>
      <c r="AQ14" s="27">
        <v>12800</v>
      </c>
      <c r="AR14" s="27">
        <v>12800</v>
      </c>
      <c r="AS14" s="26" t="s">
        <v>73</v>
      </c>
      <c r="AT14" s="26" t="s">
        <v>73</v>
      </c>
      <c r="AU14" s="26" t="s">
        <v>73</v>
      </c>
      <c r="AV14" s="26" t="s">
        <v>73</v>
      </c>
      <c r="AW14" s="26" t="s">
        <v>73</v>
      </c>
      <c r="AX14" s="118">
        <v>25600</v>
      </c>
      <c r="AY14" s="27" t="s">
        <v>7</v>
      </c>
      <c r="AZ14" s="126" t="s">
        <v>74</v>
      </c>
      <c r="BA14" s="126"/>
      <c r="BB14" s="109" t="s">
        <v>75</v>
      </c>
      <c r="BH14" s="35" t="s">
        <v>97</v>
      </c>
      <c r="BJ14" s="106"/>
      <c r="BL14" s="96"/>
      <c r="BN14" s="96"/>
      <c r="BP14" s="96"/>
      <c r="BQ14" s="95" t="s">
        <v>225</v>
      </c>
      <c r="BR14" s="136" t="s">
        <v>258</v>
      </c>
      <c r="BS14" s="94" t="s">
        <v>259</v>
      </c>
      <c r="BT14" s="25">
        <v>18872</v>
      </c>
      <c r="BU14" s="25">
        <f t="shared" si="0"/>
        <v>6728</v>
      </c>
      <c r="BV14" s="137" t="s">
        <v>225</v>
      </c>
      <c r="BW14" s="129"/>
      <c r="BY14" s="25">
        <f t="shared" si="1"/>
        <v>25600</v>
      </c>
      <c r="BZ14" s="25"/>
      <c r="CA14" s="25">
        <f t="shared" si="3"/>
        <v>25600</v>
      </c>
    </row>
    <row r="15" spans="1:115" ht="47.25" hidden="1" customHeight="1" x14ac:dyDescent="0.25">
      <c r="A15" s="16">
        <v>2026</v>
      </c>
      <c r="B15" s="17">
        <v>479</v>
      </c>
      <c r="C15" s="18" t="s">
        <v>64</v>
      </c>
      <c r="D15" s="18" t="s">
        <v>65</v>
      </c>
      <c r="E15" s="17">
        <v>125</v>
      </c>
      <c r="F15" s="17">
        <v>3000654</v>
      </c>
      <c r="G15" s="17">
        <v>5005023</v>
      </c>
      <c r="H15" s="17">
        <v>3</v>
      </c>
      <c r="I15" s="17">
        <v>12</v>
      </c>
      <c r="J15" s="17">
        <v>24</v>
      </c>
      <c r="K15" s="17">
        <v>135560</v>
      </c>
      <c r="L15" s="18" t="s">
        <v>98</v>
      </c>
      <c r="M15" s="19" t="s">
        <v>99</v>
      </c>
      <c r="N15" s="16">
        <v>94</v>
      </c>
      <c r="O15" s="1"/>
      <c r="P15" s="1" t="s">
        <v>4</v>
      </c>
      <c r="Q15" s="17" t="s">
        <v>68</v>
      </c>
      <c r="R15" s="22" t="s">
        <v>69</v>
      </c>
      <c r="S15" s="22" t="s">
        <v>100</v>
      </c>
      <c r="T15" s="37">
        <v>940500010002</v>
      </c>
      <c r="U15" s="30" t="s">
        <v>101</v>
      </c>
      <c r="V15" s="22" t="s">
        <v>72</v>
      </c>
      <c r="W15" s="22"/>
      <c r="X15" s="24">
        <v>12000</v>
      </c>
      <c r="Y15" s="156"/>
      <c r="Z15" s="157"/>
      <c r="AA15" s="157"/>
      <c r="AB15" s="158"/>
      <c r="AC15" s="22"/>
      <c r="AD15" s="22">
        <v>1</v>
      </c>
      <c r="AE15" s="22">
        <v>1</v>
      </c>
      <c r="AF15" s="156"/>
      <c r="AG15" s="157"/>
      <c r="AH15" s="157"/>
      <c r="AI15" s="157"/>
      <c r="AJ15" s="159"/>
      <c r="AK15" s="32">
        <v>24000</v>
      </c>
      <c r="AL15" s="26" t="s">
        <v>73</v>
      </c>
      <c r="AM15" s="26" t="s">
        <v>73</v>
      </c>
      <c r="AN15" s="26" t="s">
        <v>73</v>
      </c>
      <c r="AO15" s="26" t="s">
        <v>73</v>
      </c>
      <c r="AP15" s="26" t="s">
        <v>73</v>
      </c>
      <c r="AQ15" s="27">
        <v>12000</v>
      </c>
      <c r="AR15" s="27">
        <v>12000</v>
      </c>
      <c r="AS15" s="26" t="s">
        <v>73</v>
      </c>
      <c r="AT15" s="26" t="s">
        <v>73</v>
      </c>
      <c r="AU15" s="26" t="s">
        <v>73</v>
      </c>
      <c r="AV15" s="26" t="s">
        <v>73</v>
      </c>
      <c r="AW15" s="26" t="s">
        <v>73</v>
      </c>
      <c r="AX15" s="118">
        <v>24000</v>
      </c>
      <c r="AY15" s="142" t="s">
        <v>5</v>
      </c>
      <c r="AZ15" s="126" t="s">
        <v>74</v>
      </c>
      <c r="BA15" s="126"/>
      <c r="BB15" s="109" t="s">
        <v>75</v>
      </c>
      <c r="BG15" t="s">
        <v>260</v>
      </c>
      <c r="BH15" s="74" t="s">
        <v>102</v>
      </c>
      <c r="BJ15" s="106"/>
      <c r="BL15" s="96"/>
      <c r="BN15" s="96"/>
      <c r="BP15" s="96"/>
      <c r="BQ15" s="95" t="s">
        <v>225</v>
      </c>
      <c r="BR15" s="95"/>
      <c r="BT15" s="25"/>
      <c r="BU15" s="25">
        <f t="shared" si="0"/>
        <v>24000</v>
      </c>
      <c r="BV15" s="137" t="s">
        <v>225</v>
      </c>
      <c r="BW15"/>
      <c r="BX15"/>
      <c r="BY15" s="25">
        <f t="shared" si="1"/>
        <v>24000</v>
      </c>
      <c r="BZ15" s="25"/>
      <c r="CA15" s="25">
        <f t="shared" si="3"/>
        <v>24000</v>
      </c>
      <c r="CB15" s="107"/>
      <c r="CC15" s="107"/>
      <c r="CD15" s="107"/>
      <c r="CE15"/>
      <c r="CF15"/>
      <c r="CG15"/>
      <c r="CH15"/>
      <c r="CI15"/>
      <c r="CJ15"/>
      <c r="CK15"/>
      <c r="CL15"/>
      <c r="CM15"/>
      <c r="CN15"/>
      <c r="CO15"/>
      <c r="CP15"/>
      <c r="CQ15"/>
      <c r="CR15"/>
      <c r="CS15"/>
      <c r="CT15"/>
      <c r="CU15"/>
      <c r="CV15"/>
      <c r="CW15"/>
      <c r="CX15"/>
      <c r="CY15"/>
      <c r="CZ15"/>
      <c r="DA15"/>
      <c r="DB15"/>
      <c r="DC15"/>
      <c r="DD15"/>
      <c r="DE15"/>
      <c r="DF15"/>
      <c r="DG15"/>
      <c r="DH15"/>
      <c r="DI15"/>
      <c r="DJ15"/>
      <c r="DK15"/>
    </row>
    <row r="16" spans="1:115" ht="47.25" hidden="1" customHeight="1" x14ac:dyDescent="0.25">
      <c r="A16" s="16">
        <v>2026</v>
      </c>
      <c r="B16" s="17">
        <v>479</v>
      </c>
      <c r="C16" s="18" t="s">
        <v>64</v>
      </c>
      <c r="D16" s="18" t="s">
        <v>65</v>
      </c>
      <c r="E16" s="17">
        <v>125</v>
      </c>
      <c r="F16" s="17">
        <v>3000654</v>
      </c>
      <c r="G16" s="17">
        <v>5005023</v>
      </c>
      <c r="H16" s="17">
        <v>3</v>
      </c>
      <c r="I16" s="17">
        <v>12</v>
      </c>
      <c r="J16" s="17">
        <v>24</v>
      </c>
      <c r="K16" s="17">
        <v>135560</v>
      </c>
      <c r="L16" s="18" t="s">
        <v>98</v>
      </c>
      <c r="M16" s="19" t="s">
        <v>99</v>
      </c>
      <c r="N16" s="16">
        <v>94</v>
      </c>
      <c r="O16" s="1"/>
      <c r="P16" s="1" t="s">
        <v>4</v>
      </c>
      <c r="Q16" s="17" t="s">
        <v>68</v>
      </c>
      <c r="R16" s="22" t="s">
        <v>69</v>
      </c>
      <c r="S16" s="22" t="s">
        <v>100</v>
      </c>
      <c r="T16" s="37">
        <v>940500010002</v>
      </c>
      <c r="U16" s="28" t="s">
        <v>103</v>
      </c>
      <c r="V16" s="22" t="s">
        <v>72</v>
      </c>
      <c r="W16" s="22">
        <v>1</v>
      </c>
      <c r="X16" s="24">
        <v>12000</v>
      </c>
      <c r="Y16" s="156"/>
      <c r="Z16" s="157"/>
      <c r="AA16" s="157"/>
      <c r="AB16" s="158"/>
      <c r="AC16" s="22"/>
      <c r="AD16" s="22">
        <v>1</v>
      </c>
      <c r="AE16" s="22">
        <v>1</v>
      </c>
      <c r="AF16" s="156"/>
      <c r="AG16" s="157"/>
      <c r="AH16" s="157"/>
      <c r="AI16" s="157"/>
      <c r="AJ16" s="159"/>
      <c r="AK16" s="32">
        <v>24000</v>
      </c>
      <c r="AL16" s="26" t="s">
        <v>73</v>
      </c>
      <c r="AM16" s="26" t="s">
        <v>73</v>
      </c>
      <c r="AN16" s="26" t="s">
        <v>73</v>
      </c>
      <c r="AO16" s="26" t="s">
        <v>73</v>
      </c>
      <c r="AP16" s="26" t="s">
        <v>73</v>
      </c>
      <c r="AQ16" s="27">
        <v>12000</v>
      </c>
      <c r="AR16" s="27">
        <v>12000</v>
      </c>
      <c r="AS16" s="26" t="s">
        <v>73</v>
      </c>
      <c r="AT16" s="26" t="s">
        <v>73</v>
      </c>
      <c r="AU16" s="26" t="s">
        <v>73</v>
      </c>
      <c r="AV16" s="26" t="s">
        <v>73</v>
      </c>
      <c r="AW16" s="26" t="s">
        <v>73</v>
      </c>
      <c r="AX16" s="118">
        <v>24000</v>
      </c>
      <c r="AY16" s="116" t="s">
        <v>6</v>
      </c>
      <c r="AZ16" s="126" t="s">
        <v>74</v>
      </c>
      <c r="BA16" s="126"/>
      <c r="BB16" s="109" t="s">
        <v>75</v>
      </c>
      <c r="BG16" t="s">
        <v>260</v>
      </c>
      <c r="BH16" s="74" t="s">
        <v>102</v>
      </c>
      <c r="BJ16" s="106"/>
      <c r="BL16" s="96"/>
      <c r="BN16" s="96"/>
      <c r="BP16" s="96"/>
      <c r="BQ16" s="95" t="s">
        <v>225</v>
      </c>
      <c r="BR16" s="95"/>
      <c r="BT16" s="25"/>
      <c r="BU16" s="25">
        <f t="shared" si="0"/>
        <v>24000</v>
      </c>
      <c r="BV16" s="137" t="s">
        <v>225</v>
      </c>
      <c r="BW16"/>
      <c r="BX16"/>
      <c r="BY16" s="25">
        <f t="shared" si="1"/>
        <v>24000</v>
      </c>
      <c r="BZ16" s="25"/>
      <c r="CA16" s="25">
        <f t="shared" si="3"/>
        <v>24000</v>
      </c>
      <c r="CB16" s="107"/>
      <c r="CC16" s="107"/>
      <c r="CD16" s="107"/>
      <c r="CE16"/>
      <c r="CF16"/>
      <c r="CG16"/>
      <c r="CH16"/>
      <c r="CI16"/>
      <c r="CJ16"/>
      <c r="CK16"/>
      <c r="CL16"/>
      <c r="CM16"/>
      <c r="CN16"/>
      <c r="CO16"/>
      <c r="CP16"/>
      <c r="CQ16"/>
      <c r="CR16"/>
      <c r="CS16"/>
      <c r="CT16"/>
      <c r="CU16"/>
      <c r="CV16"/>
      <c r="CW16"/>
      <c r="CX16"/>
      <c r="CY16"/>
      <c r="CZ16"/>
      <c r="DA16"/>
      <c r="DB16"/>
      <c r="DC16"/>
      <c r="DD16"/>
      <c r="DE16"/>
      <c r="DF16"/>
      <c r="DG16"/>
      <c r="DH16"/>
      <c r="DI16"/>
      <c r="DJ16"/>
      <c r="DK16"/>
    </row>
    <row r="17" spans="1:94 16359:16381" customFormat="1" ht="47.25" hidden="1" customHeight="1" x14ac:dyDescent="0.25">
      <c r="A17" s="16">
        <v>2026</v>
      </c>
      <c r="B17" s="17">
        <v>479</v>
      </c>
      <c r="C17" s="18" t="s">
        <v>64</v>
      </c>
      <c r="D17" s="18" t="s">
        <v>65</v>
      </c>
      <c r="E17" s="17">
        <v>125</v>
      </c>
      <c r="F17" s="17">
        <v>3000654</v>
      </c>
      <c r="G17" s="17">
        <v>5005023</v>
      </c>
      <c r="H17" s="17">
        <v>3</v>
      </c>
      <c r="I17" s="17">
        <v>12</v>
      </c>
      <c r="J17" s="17">
        <v>24</v>
      </c>
      <c r="K17" s="17">
        <v>135560</v>
      </c>
      <c r="L17" s="18" t="s">
        <v>98</v>
      </c>
      <c r="M17" s="19" t="s">
        <v>99</v>
      </c>
      <c r="N17" s="16">
        <v>94</v>
      </c>
      <c r="O17" s="1"/>
      <c r="P17" s="1" t="s">
        <v>4</v>
      </c>
      <c r="Q17" s="17" t="s">
        <v>68</v>
      </c>
      <c r="R17" s="22" t="s">
        <v>69</v>
      </c>
      <c r="S17" s="22" t="s">
        <v>92</v>
      </c>
      <c r="T17" s="22"/>
      <c r="U17" s="28" t="s">
        <v>104</v>
      </c>
      <c r="V17" s="22" t="s">
        <v>72</v>
      </c>
      <c r="W17" s="22">
        <v>1</v>
      </c>
      <c r="X17" s="24">
        <v>10000</v>
      </c>
      <c r="Y17" s="156"/>
      <c r="Z17" s="157"/>
      <c r="AA17" s="157"/>
      <c r="AB17" s="158"/>
      <c r="AC17" s="22"/>
      <c r="AD17" s="22">
        <v>1</v>
      </c>
      <c r="AE17" s="22">
        <v>1</v>
      </c>
      <c r="AF17" s="156"/>
      <c r="AG17" s="157"/>
      <c r="AH17" s="157"/>
      <c r="AI17" s="157"/>
      <c r="AJ17" s="159"/>
      <c r="AK17" s="32">
        <v>20000</v>
      </c>
      <c r="AL17" s="26" t="s">
        <v>73</v>
      </c>
      <c r="AM17" s="26" t="s">
        <v>73</v>
      </c>
      <c r="AN17" s="26" t="s">
        <v>73</v>
      </c>
      <c r="AO17" s="26" t="s">
        <v>73</v>
      </c>
      <c r="AP17" s="26" t="s">
        <v>73</v>
      </c>
      <c r="AQ17" s="27">
        <v>10000</v>
      </c>
      <c r="AR17" s="27">
        <v>10000</v>
      </c>
      <c r="AS17" s="26" t="s">
        <v>73</v>
      </c>
      <c r="AT17" s="26" t="s">
        <v>73</v>
      </c>
      <c r="AU17" s="26" t="s">
        <v>73</v>
      </c>
      <c r="AV17" s="26" t="s">
        <v>73</v>
      </c>
      <c r="AW17" s="26" t="s">
        <v>73</v>
      </c>
      <c r="AX17" s="118">
        <v>20000</v>
      </c>
      <c r="AY17" s="116" t="s">
        <v>6</v>
      </c>
      <c r="AZ17" s="126" t="s">
        <v>74</v>
      </c>
      <c r="BA17" s="126"/>
      <c r="BB17" s="109" t="s">
        <v>75</v>
      </c>
      <c r="BH17" s="74" t="s">
        <v>94</v>
      </c>
      <c r="BI17" s="104"/>
      <c r="BJ17" s="106"/>
      <c r="BK17" s="95"/>
      <c r="BL17" s="96"/>
      <c r="BM17" s="95"/>
      <c r="BN17" s="96"/>
      <c r="BO17" s="95"/>
      <c r="BP17" s="96"/>
      <c r="BQ17" s="95" t="s">
        <v>225</v>
      </c>
      <c r="BR17" s="95"/>
      <c r="BS17" s="94"/>
      <c r="BT17" s="25"/>
      <c r="BU17" s="25">
        <f t="shared" si="0"/>
        <v>20000</v>
      </c>
      <c r="BV17" s="137" t="s">
        <v>225</v>
      </c>
      <c r="BY17" s="25">
        <f t="shared" si="1"/>
        <v>20000</v>
      </c>
      <c r="BZ17" s="25"/>
      <c r="CA17" s="25">
        <f t="shared" si="3"/>
        <v>20000</v>
      </c>
      <c r="CB17" s="107"/>
      <c r="CC17" s="107"/>
      <c r="CD17" s="107"/>
    </row>
    <row r="18" spans="1:94 16359:16381" customFormat="1" ht="47.25" hidden="1" customHeight="1" x14ac:dyDescent="0.25">
      <c r="A18" s="16">
        <v>2026</v>
      </c>
      <c r="B18" s="17">
        <v>479</v>
      </c>
      <c r="C18" s="18" t="s">
        <v>64</v>
      </c>
      <c r="D18" s="18" t="s">
        <v>65</v>
      </c>
      <c r="E18" s="17">
        <v>125</v>
      </c>
      <c r="F18" s="17">
        <v>3000654</v>
      </c>
      <c r="G18" s="17">
        <v>5005023</v>
      </c>
      <c r="H18" s="17">
        <v>3</v>
      </c>
      <c r="I18" s="17">
        <v>12</v>
      </c>
      <c r="J18" s="17">
        <v>24</v>
      </c>
      <c r="K18" s="17">
        <v>135560</v>
      </c>
      <c r="L18" s="18" t="s">
        <v>98</v>
      </c>
      <c r="M18" s="19" t="s">
        <v>99</v>
      </c>
      <c r="N18" s="16">
        <v>94</v>
      </c>
      <c r="O18" s="1"/>
      <c r="P18" s="1" t="s">
        <v>4</v>
      </c>
      <c r="Q18" s="17" t="s">
        <v>68</v>
      </c>
      <c r="R18" s="22" t="s">
        <v>69</v>
      </c>
      <c r="S18" s="22" t="s">
        <v>92</v>
      </c>
      <c r="T18" s="22"/>
      <c r="U18" s="28" t="s">
        <v>105</v>
      </c>
      <c r="V18" s="22" t="s">
        <v>72</v>
      </c>
      <c r="W18" s="22">
        <v>1</v>
      </c>
      <c r="X18" s="24">
        <v>10000</v>
      </c>
      <c r="Y18" s="156"/>
      <c r="Z18" s="157"/>
      <c r="AA18" s="157"/>
      <c r="AB18" s="158"/>
      <c r="AC18" s="22"/>
      <c r="AD18" s="22">
        <v>1</v>
      </c>
      <c r="AE18" s="22">
        <v>1</v>
      </c>
      <c r="AF18" s="156"/>
      <c r="AG18" s="157"/>
      <c r="AH18" s="157"/>
      <c r="AI18" s="157"/>
      <c r="AJ18" s="159"/>
      <c r="AK18" s="32">
        <v>20000</v>
      </c>
      <c r="AL18" s="26" t="s">
        <v>73</v>
      </c>
      <c r="AM18" s="26" t="s">
        <v>73</v>
      </c>
      <c r="AN18" s="26" t="s">
        <v>73</v>
      </c>
      <c r="AO18" s="26" t="s">
        <v>73</v>
      </c>
      <c r="AP18" s="26" t="s">
        <v>73</v>
      </c>
      <c r="AQ18" s="27">
        <v>10000</v>
      </c>
      <c r="AR18" s="27">
        <v>10000</v>
      </c>
      <c r="AS18" s="26" t="s">
        <v>73</v>
      </c>
      <c r="AT18" s="26" t="s">
        <v>73</v>
      </c>
      <c r="AU18" s="26" t="s">
        <v>73</v>
      </c>
      <c r="AV18" s="26" t="s">
        <v>73</v>
      </c>
      <c r="AW18" s="26" t="s">
        <v>73</v>
      </c>
      <c r="AX18" s="118">
        <v>20000</v>
      </c>
      <c r="AY18" s="116" t="s">
        <v>6</v>
      </c>
      <c r="AZ18" s="126" t="s">
        <v>74</v>
      </c>
      <c r="BA18" s="126"/>
      <c r="BB18" s="109" t="s">
        <v>75</v>
      </c>
      <c r="BH18" s="74" t="s">
        <v>94</v>
      </c>
      <c r="BI18" s="104"/>
      <c r="BJ18" s="106"/>
      <c r="BK18" s="95"/>
      <c r="BL18" s="96"/>
      <c r="BM18" s="95"/>
      <c r="BN18" s="96"/>
      <c r="BO18" s="95"/>
      <c r="BP18" s="96"/>
      <c r="BQ18" s="95" t="s">
        <v>225</v>
      </c>
      <c r="BR18" s="95"/>
      <c r="BS18" s="94"/>
      <c r="BT18" s="25"/>
      <c r="BU18" s="25">
        <f t="shared" si="0"/>
        <v>20000</v>
      </c>
      <c r="BV18" s="137" t="s">
        <v>225</v>
      </c>
      <c r="BY18" s="25">
        <f t="shared" si="1"/>
        <v>20000</v>
      </c>
      <c r="BZ18" s="25"/>
      <c r="CA18" s="25">
        <f t="shared" si="3"/>
        <v>20000</v>
      </c>
      <c r="CB18" s="107"/>
      <c r="CC18" s="107"/>
      <c r="CD18" s="107"/>
    </row>
    <row r="19" spans="1:94 16359:16381" customFormat="1" ht="47.25" hidden="1" customHeight="1" x14ac:dyDescent="0.25">
      <c r="A19" s="16">
        <v>2026</v>
      </c>
      <c r="B19" s="17">
        <v>479</v>
      </c>
      <c r="C19" s="18" t="s">
        <v>64</v>
      </c>
      <c r="D19" s="18" t="s">
        <v>65</v>
      </c>
      <c r="E19" s="17">
        <v>125</v>
      </c>
      <c r="F19" s="17">
        <v>3000654</v>
      </c>
      <c r="G19" s="17">
        <v>5005023</v>
      </c>
      <c r="H19" s="17">
        <v>3</v>
      </c>
      <c r="I19" s="17">
        <v>12</v>
      </c>
      <c r="J19" s="17">
        <v>24</v>
      </c>
      <c r="K19" s="17">
        <v>135560</v>
      </c>
      <c r="L19" s="18" t="s">
        <v>98</v>
      </c>
      <c r="M19" s="19" t="s">
        <v>99</v>
      </c>
      <c r="N19" s="16">
        <v>94</v>
      </c>
      <c r="O19" s="1"/>
      <c r="P19" s="1" t="s">
        <v>4</v>
      </c>
      <c r="Q19" s="17" t="s">
        <v>68</v>
      </c>
      <c r="R19" s="22" t="s">
        <v>69</v>
      </c>
      <c r="S19" s="38" t="s">
        <v>89</v>
      </c>
      <c r="T19" s="38"/>
      <c r="U19" s="28" t="s">
        <v>106</v>
      </c>
      <c r="V19" s="22" t="s">
        <v>72</v>
      </c>
      <c r="W19" s="22">
        <v>1</v>
      </c>
      <c r="X19" s="24">
        <v>12500</v>
      </c>
      <c r="Y19" s="156"/>
      <c r="Z19" s="157"/>
      <c r="AA19" s="157"/>
      <c r="AB19" s="158"/>
      <c r="AC19" s="22"/>
      <c r="AD19" s="22">
        <v>1</v>
      </c>
      <c r="AE19" s="22">
        <v>1</v>
      </c>
      <c r="AF19" s="156"/>
      <c r="AG19" s="157"/>
      <c r="AH19" s="157"/>
      <c r="AI19" s="157"/>
      <c r="AJ19" s="159"/>
      <c r="AK19" s="32">
        <v>25000</v>
      </c>
      <c r="AL19" s="26" t="s">
        <v>73</v>
      </c>
      <c r="AM19" s="26" t="s">
        <v>73</v>
      </c>
      <c r="AN19" s="26" t="s">
        <v>73</v>
      </c>
      <c r="AO19" s="26" t="s">
        <v>73</v>
      </c>
      <c r="AP19" s="26" t="s">
        <v>73</v>
      </c>
      <c r="AQ19" s="27">
        <v>12500</v>
      </c>
      <c r="AR19" s="27">
        <v>12500</v>
      </c>
      <c r="AS19" s="26" t="s">
        <v>73</v>
      </c>
      <c r="AT19" s="26" t="s">
        <v>73</v>
      </c>
      <c r="AU19" s="26" t="s">
        <v>73</v>
      </c>
      <c r="AV19" s="26" t="s">
        <v>73</v>
      </c>
      <c r="AW19" s="26" t="s">
        <v>73</v>
      </c>
      <c r="AX19" s="118">
        <v>25000</v>
      </c>
      <c r="AY19" s="116" t="s">
        <v>6</v>
      </c>
      <c r="AZ19" s="126" t="s">
        <v>74</v>
      </c>
      <c r="BA19" s="126"/>
      <c r="BB19" s="109" t="s">
        <v>75</v>
      </c>
      <c r="BH19" s="74" t="s">
        <v>106</v>
      </c>
      <c r="BI19" s="104">
        <v>1584</v>
      </c>
      <c r="BJ19" s="106"/>
      <c r="BK19" s="95"/>
      <c r="BL19" s="96"/>
      <c r="BM19" s="95"/>
      <c r="BN19" s="96"/>
      <c r="BO19" s="95"/>
      <c r="BP19" s="96"/>
      <c r="BQ19" s="95" t="s">
        <v>225</v>
      </c>
      <c r="BR19" s="95"/>
      <c r="BS19" s="94"/>
      <c r="BT19" s="25"/>
      <c r="BU19" s="25">
        <f t="shared" si="0"/>
        <v>25000</v>
      </c>
      <c r="BV19" s="137" t="s">
        <v>225</v>
      </c>
      <c r="BY19" s="25">
        <f t="shared" si="1"/>
        <v>25000</v>
      </c>
      <c r="BZ19" s="25"/>
      <c r="CA19" s="25">
        <f t="shared" si="3"/>
        <v>25000</v>
      </c>
      <c r="CB19" s="107"/>
      <c r="CC19" s="107"/>
      <c r="CD19" s="107"/>
    </row>
    <row r="20" spans="1:94 16359:16381" s="51" customFormat="1" ht="47.25" customHeight="1" x14ac:dyDescent="0.25">
      <c r="A20" s="143">
        <v>2026</v>
      </c>
      <c r="B20" s="80">
        <v>479</v>
      </c>
      <c r="C20" s="19" t="s">
        <v>64</v>
      </c>
      <c r="D20" s="143" t="s">
        <v>65</v>
      </c>
      <c r="E20" s="65">
        <v>125</v>
      </c>
      <c r="F20" s="38">
        <v>3000654</v>
      </c>
      <c r="G20" s="28">
        <v>5005023</v>
      </c>
      <c r="H20" s="38">
        <v>3</v>
      </c>
      <c r="I20" s="38">
        <v>12</v>
      </c>
      <c r="J20" s="144">
        <v>24</v>
      </c>
      <c r="K20" s="80">
        <v>135560</v>
      </c>
      <c r="L20" s="80" t="s">
        <v>98</v>
      </c>
      <c r="M20" s="19" t="s">
        <v>99</v>
      </c>
      <c r="N20" s="143">
        <v>94</v>
      </c>
      <c r="O20" s="143"/>
      <c r="P20" s="38" t="s">
        <v>4</v>
      </c>
      <c r="Q20" s="38" t="s">
        <v>68</v>
      </c>
      <c r="R20" s="38" t="s">
        <v>69</v>
      </c>
      <c r="S20" s="38" t="s">
        <v>76</v>
      </c>
      <c r="T20" s="38"/>
      <c r="U20" s="28" t="s">
        <v>107</v>
      </c>
      <c r="V20" s="28" t="s">
        <v>72</v>
      </c>
      <c r="W20" s="145">
        <v>1</v>
      </c>
      <c r="X20" s="146">
        <v>250000</v>
      </c>
      <c r="Y20" s="1"/>
      <c r="Z20" s="1"/>
      <c r="AA20"/>
      <c r="AB20"/>
      <c r="AC20" s="22"/>
      <c r="AD20" s="22">
        <v>0.5</v>
      </c>
      <c r="AE20" s="22">
        <v>0.5</v>
      </c>
      <c r="AF20"/>
      <c r="AG20"/>
      <c r="AH20"/>
      <c r="AI20"/>
      <c r="AJ20"/>
      <c r="AK20" s="145">
        <v>250000</v>
      </c>
      <c r="AL20" t="s">
        <v>73</v>
      </c>
      <c r="AM20" t="s">
        <v>73</v>
      </c>
      <c r="AN20" t="s">
        <v>73</v>
      </c>
      <c r="AO20" t="s">
        <v>73</v>
      </c>
      <c r="AP20" t="s">
        <v>73</v>
      </c>
      <c r="AQ20">
        <v>125000</v>
      </c>
      <c r="AR20">
        <v>125000</v>
      </c>
      <c r="AS20" t="s">
        <v>73</v>
      </c>
      <c r="AT20" t="s">
        <v>73</v>
      </c>
      <c r="AU20" t="s">
        <v>73</v>
      </c>
      <c r="AV20" t="s">
        <v>73</v>
      </c>
      <c r="AW20" t="s">
        <v>73</v>
      </c>
      <c r="AX20" s="118">
        <v>250000</v>
      </c>
      <c r="AY20" s="79" t="s">
        <v>6</v>
      </c>
      <c r="AZ20" s="109" t="s">
        <v>74</v>
      </c>
      <c r="BA20" s="109"/>
      <c r="BB20" s="109" t="s">
        <v>75</v>
      </c>
      <c r="BC20"/>
      <c r="BD20"/>
      <c r="BE20"/>
      <c r="BF20"/>
      <c r="BH20" s="51" t="s">
        <v>107</v>
      </c>
      <c r="BI20" s="104" t="s">
        <v>183</v>
      </c>
      <c r="BJ20" s="106"/>
      <c r="BK20" s="95" t="s">
        <v>184</v>
      </c>
      <c r="BL20" s="96">
        <v>46113</v>
      </c>
      <c r="BM20" s="95" t="s">
        <v>261</v>
      </c>
      <c r="BN20" s="96">
        <v>46113</v>
      </c>
      <c r="BO20" s="95" t="s">
        <v>261</v>
      </c>
      <c r="BP20" s="96">
        <v>46113</v>
      </c>
      <c r="BQ20" s="95" t="s">
        <v>187</v>
      </c>
      <c r="BR20" s="95" t="s">
        <v>262</v>
      </c>
      <c r="BS20" s="147" t="s">
        <v>263</v>
      </c>
      <c r="BT20" s="25">
        <v>236000</v>
      </c>
      <c r="BU20" s="25">
        <f t="shared" si="0"/>
        <v>14000</v>
      </c>
      <c r="BV20" s="137" t="s">
        <v>190</v>
      </c>
      <c r="BW20" s="51" t="s">
        <v>264</v>
      </c>
      <c r="BX20" s="112">
        <v>46164</v>
      </c>
      <c r="BY20" s="25">
        <f t="shared" si="1"/>
        <v>250000</v>
      </c>
      <c r="BZ20" s="25">
        <v>236000</v>
      </c>
      <c r="CA20" s="25">
        <f t="shared" si="3"/>
        <v>14000</v>
      </c>
      <c r="CB20" s="107" t="s">
        <v>265</v>
      </c>
      <c r="CC20" s="107" t="s">
        <v>213</v>
      </c>
      <c r="CD20" s="107" t="s">
        <v>266</v>
      </c>
      <c r="CE20" s="51" t="s">
        <v>267</v>
      </c>
      <c r="CF20" s="112">
        <v>46183</v>
      </c>
      <c r="CG20" s="51" t="s">
        <v>268</v>
      </c>
      <c r="CH20" s="112">
        <v>46183</v>
      </c>
      <c r="CK20" s="51" t="s">
        <v>269</v>
      </c>
      <c r="CL20" s="51" t="s">
        <v>174</v>
      </c>
      <c r="CM20" s="51" t="s">
        <v>205</v>
      </c>
      <c r="CN20" s="51" t="s">
        <v>205</v>
      </c>
      <c r="CP20" s="51" t="s">
        <v>270</v>
      </c>
      <c r="XEE20" s="143"/>
      <c r="XEF20" s="80"/>
      <c r="XEG20" s="19"/>
      <c r="XEH20" s="143"/>
      <c r="XEI20" s="65"/>
      <c r="XEJ20" s="38"/>
      <c r="XEK20" s="28"/>
      <c r="XEL20" s="38"/>
      <c r="XEM20" s="38"/>
      <c r="XEN20" s="144"/>
      <c r="XEO20" s="161"/>
      <c r="XEP20" s="162"/>
      <c r="XEQ20" s="162"/>
      <c r="XER20" s="163"/>
      <c r="XES20" s="38"/>
      <c r="XET20" s="38"/>
      <c r="XEU20" s="38"/>
      <c r="XEV20" s="161"/>
      <c r="XEW20" s="162"/>
      <c r="XEX20" s="162"/>
      <c r="XEY20" s="162"/>
      <c r="XEZ20" s="164"/>
      <c r="XFA20" s="145"/>
    </row>
    <row r="21" spans="1:94 16359:16381" customFormat="1" ht="47.25" customHeight="1" x14ac:dyDescent="0.25">
      <c r="A21" s="16">
        <v>2026</v>
      </c>
      <c r="B21" s="17">
        <v>479</v>
      </c>
      <c r="C21" s="18" t="s">
        <v>64</v>
      </c>
      <c r="D21" s="18" t="s">
        <v>65</v>
      </c>
      <c r="E21" s="17">
        <v>125</v>
      </c>
      <c r="F21" s="17">
        <v>3000654</v>
      </c>
      <c r="G21" s="17">
        <v>5005023</v>
      </c>
      <c r="H21" s="17">
        <v>3</v>
      </c>
      <c r="I21" s="17">
        <v>12</v>
      </c>
      <c r="J21" s="17">
        <v>24</v>
      </c>
      <c r="K21" s="17">
        <v>135560</v>
      </c>
      <c r="L21" s="18" t="s">
        <v>98</v>
      </c>
      <c r="M21" s="19" t="s">
        <v>99</v>
      </c>
      <c r="N21" s="16">
        <v>94</v>
      </c>
      <c r="O21" s="1"/>
      <c r="P21" s="1" t="s">
        <v>4</v>
      </c>
      <c r="Q21" s="17" t="s">
        <v>68</v>
      </c>
      <c r="R21" s="22" t="s">
        <v>69</v>
      </c>
      <c r="S21" s="22" t="s">
        <v>108</v>
      </c>
      <c r="T21" s="37">
        <v>716000010187</v>
      </c>
      <c r="U21" s="28" t="s">
        <v>109</v>
      </c>
      <c r="V21" s="22" t="s">
        <v>110</v>
      </c>
      <c r="W21" s="22">
        <v>1</v>
      </c>
      <c r="X21" s="22">
        <v>2</v>
      </c>
      <c r="Y21" s="156"/>
      <c r="Z21" s="157"/>
      <c r="AA21" s="157"/>
      <c r="AB21" s="158"/>
      <c r="AC21" s="22"/>
      <c r="AD21" s="22">
        <v>25</v>
      </c>
      <c r="AE21" s="22"/>
      <c r="AF21" s="156"/>
      <c r="AG21" s="157"/>
      <c r="AH21" s="157"/>
      <c r="AI21" s="157"/>
      <c r="AJ21" s="159"/>
      <c r="AK21" s="39">
        <v>50</v>
      </c>
      <c r="AL21" s="26" t="s">
        <v>73</v>
      </c>
      <c r="AM21" s="26" t="s">
        <v>73</v>
      </c>
      <c r="AN21" s="26" t="s">
        <v>73</v>
      </c>
      <c r="AO21" s="26" t="s">
        <v>73</v>
      </c>
      <c r="AP21" s="26" t="s">
        <v>73</v>
      </c>
      <c r="AQ21" s="26">
        <v>50</v>
      </c>
      <c r="AR21" s="26" t="s">
        <v>73</v>
      </c>
      <c r="AS21" s="26" t="s">
        <v>73</v>
      </c>
      <c r="AT21" s="26" t="s">
        <v>73</v>
      </c>
      <c r="AU21" s="26" t="s">
        <v>73</v>
      </c>
      <c r="AV21" s="26" t="s">
        <v>73</v>
      </c>
      <c r="AW21" s="26" t="s">
        <v>73</v>
      </c>
      <c r="AX21" s="118">
        <v>50</v>
      </c>
      <c r="AY21" s="15" t="s">
        <v>6</v>
      </c>
      <c r="AZ21" s="126" t="s">
        <v>74</v>
      </c>
      <c r="BA21" s="126"/>
      <c r="BB21" s="109" t="s">
        <v>75</v>
      </c>
      <c r="BH21" s="28" t="s">
        <v>109</v>
      </c>
      <c r="BI21" s="104">
        <v>362</v>
      </c>
      <c r="BJ21" s="106"/>
      <c r="BK21" s="95" t="s">
        <v>271</v>
      </c>
      <c r="BL21" s="96">
        <v>46135</v>
      </c>
      <c r="BM21" s="95" t="s">
        <v>271</v>
      </c>
      <c r="BN21" s="96">
        <v>46135</v>
      </c>
      <c r="BO21" s="95" t="s">
        <v>272</v>
      </c>
      <c r="BP21" s="96">
        <v>46136</v>
      </c>
      <c r="BQ21" s="95" t="s">
        <v>187</v>
      </c>
      <c r="BR21" s="95" t="s">
        <v>273</v>
      </c>
      <c r="BS21" s="94" t="s">
        <v>274</v>
      </c>
      <c r="BT21" s="25">
        <v>23.31</v>
      </c>
      <c r="BU21" s="25">
        <f t="shared" si="0"/>
        <v>26.69</v>
      </c>
      <c r="BV21" s="137" t="s">
        <v>190</v>
      </c>
      <c r="BW21" s="109" t="s">
        <v>275</v>
      </c>
      <c r="BX21" s="61">
        <v>46174</v>
      </c>
      <c r="BY21" s="25">
        <f t="shared" si="1"/>
        <v>50</v>
      </c>
      <c r="BZ21" s="25">
        <v>29.21</v>
      </c>
      <c r="CA21" s="25">
        <f t="shared" si="3"/>
        <v>20.79</v>
      </c>
      <c r="CB21" s="107" t="s">
        <v>276</v>
      </c>
      <c r="CC21" s="107"/>
      <c r="CD21" s="107"/>
      <c r="CK21" t="s">
        <v>277</v>
      </c>
      <c r="CL21" t="s">
        <v>174</v>
      </c>
      <c r="CM21" t="s">
        <v>175</v>
      </c>
      <c r="CN21" t="s">
        <v>176</v>
      </c>
      <c r="CO21" s="61">
        <v>46184</v>
      </c>
      <c r="CP21" t="s">
        <v>277</v>
      </c>
    </row>
    <row r="22" spans="1:94 16359:16381" customFormat="1" ht="47.25" customHeight="1" x14ac:dyDescent="0.25">
      <c r="A22" s="16">
        <v>2026</v>
      </c>
      <c r="B22" s="17">
        <v>479</v>
      </c>
      <c r="C22" s="18" t="s">
        <v>64</v>
      </c>
      <c r="D22" s="18" t="s">
        <v>65</v>
      </c>
      <c r="E22" s="17">
        <v>125</v>
      </c>
      <c r="F22" s="17">
        <v>3000654</v>
      </c>
      <c r="G22" s="17">
        <v>5005023</v>
      </c>
      <c r="H22" s="17">
        <v>3</v>
      </c>
      <c r="I22" s="17">
        <v>12</v>
      </c>
      <c r="J22" s="17">
        <v>24</v>
      </c>
      <c r="K22" s="17">
        <v>135560</v>
      </c>
      <c r="L22" s="18" t="s">
        <v>98</v>
      </c>
      <c r="M22" s="19" t="s">
        <v>99</v>
      </c>
      <c r="N22" s="16">
        <v>94</v>
      </c>
      <c r="O22" s="1"/>
      <c r="P22" s="1" t="s">
        <v>4</v>
      </c>
      <c r="Q22" s="17" t="s">
        <v>68</v>
      </c>
      <c r="R22" s="22" t="s">
        <v>69</v>
      </c>
      <c r="S22" s="22" t="s">
        <v>108</v>
      </c>
      <c r="T22" s="37">
        <v>716000010208</v>
      </c>
      <c r="U22" s="28" t="s">
        <v>111</v>
      </c>
      <c r="V22" s="22" t="s">
        <v>110</v>
      </c>
      <c r="W22" s="22">
        <v>1</v>
      </c>
      <c r="X22" s="22">
        <v>2</v>
      </c>
      <c r="Y22" s="156"/>
      <c r="Z22" s="157"/>
      <c r="AA22" s="157"/>
      <c r="AB22" s="158"/>
      <c r="AC22" s="22"/>
      <c r="AD22" s="22">
        <v>50</v>
      </c>
      <c r="AE22" s="22"/>
      <c r="AF22" s="156"/>
      <c r="AG22" s="157"/>
      <c r="AH22" s="157"/>
      <c r="AI22" s="157"/>
      <c r="AJ22" s="159"/>
      <c r="AK22" s="39">
        <v>100</v>
      </c>
      <c r="AL22" s="26" t="s">
        <v>73</v>
      </c>
      <c r="AM22" s="26" t="s">
        <v>73</v>
      </c>
      <c r="AN22" s="26" t="s">
        <v>73</v>
      </c>
      <c r="AO22" s="26" t="s">
        <v>73</v>
      </c>
      <c r="AP22" s="26" t="s">
        <v>73</v>
      </c>
      <c r="AQ22" s="26">
        <v>100</v>
      </c>
      <c r="AR22" s="26" t="s">
        <v>73</v>
      </c>
      <c r="AS22" s="26" t="s">
        <v>73</v>
      </c>
      <c r="AT22" s="26" t="s">
        <v>73</v>
      </c>
      <c r="AU22" s="26" t="s">
        <v>73</v>
      </c>
      <c r="AV22" s="26" t="s">
        <v>73</v>
      </c>
      <c r="AW22" s="26" t="s">
        <v>73</v>
      </c>
      <c r="AX22" s="118">
        <f>100-4</f>
        <v>96</v>
      </c>
      <c r="AY22" s="15" t="s">
        <v>6</v>
      </c>
      <c r="AZ22" s="126" t="s">
        <v>74</v>
      </c>
      <c r="BA22" s="126"/>
      <c r="BB22" s="109" t="s">
        <v>75</v>
      </c>
      <c r="BC22" t="s">
        <v>278</v>
      </c>
      <c r="BD22" t="s">
        <v>278</v>
      </c>
      <c r="BE22" t="s">
        <v>279</v>
      </c>
      <c r="BG22" t="s">
        <v>280</v>
      </c>
      <c r="BH22" s="51" t="s">
        <v>111</v>
      </c>
      <c r="BI22" s="104">
        <v>362</v>
      </c>
      <c r="BJ22" s="106"/>
      <c r="BK22" s="95" t="s">
        <v>271</v>
      </c>
      <c r="BL22" s="96">
        <v>46135</v>
      </c>
      <c r="BM22" s="95" t="s">
        <v>271</v>
      </c>
      <c r="BN22" s="96">
        <v>46135</v>
      </c>
      <c r="BO22" s="95" t="s">
        <v>272</v>
      </c>
      <c r="BP22" s="96">
        <v>46136</v>
      </c>
      <c r="BQ22" s="95" t="s">
        <v>187</v>
      </c>
      <c r="BR22" s="95" t="s">
        <v>273</v>
      </c>
      <c r="BS22" s="94" t="s">
        <v>274</v>
      </c>
      <c r="BT22" s="25">
        <v>48.38</v>
      </c>
      <c r="BU22" s="25">
        <f t="shared" si="0"/>
        <v>47.62</v>
      </c>
      <c r="BV22" s="137" t="s">
        <v>190</v>
      </c>
      <c r="BW22" s="109" t="s">
        <v>275</v>
      </c>
      <c r="BX22" s="61">
        <v>46174</v>
      </c>
      <c r="BY22" s="25">
        <f t="shared" si="1"/>
        <v>96</v>
      </c>
      <c r="BZ22" s="25">
        <v>58.41</v>
      </c>
      <c r="CA22" s="25">
        <f t="shared" si="3"/>
        <v>37.590000000000003</v>
      </c>
      <c r="CB22" s="107" t="s">
        <v>276</v>
      </c>
      <c r="CC22" s="107"/>
      <c r="CD22" s="107"/>
      <c r="CK22" t="s">
        <v>277</v>
      </c>
      <c r="CL22" t="s">
        <v>174</v>
      </c>
      <c r="CM22" t="s">
        <v>175</v>
      </c>
      <c r="CN22" t="s">
        <v>176</v>
      </c>
      <c r="CO22" s="61">
        <v>46184</v>
      </c>
      <c r="CP22" t="s">
        <v>277</v>
      </c>
    </row>
    <row r="23" spans="1:94 16359:16381" customFormat="1" ht="47.25" customHeight="1" x14ac:dyDescent="0.25">
      <c r="A23" s="16">
        <v>2026</v>
      </c>
      <c r="B23" s="17">
        <v>479</v>
      </c>
      <c r="C23" s="18" t="s">
        <v>64</v>
      </c>
      <c r="D23" s="18" t="s">
        <v>65</v>
      </c>
      <c r="E23" s="17">
        <v>125</v>
      </c>
      <c r="F23" s="17">
        <v>3000654</v>
      </c>
      <c r="G23" s="17">
        <v>5005023</v>
      </c>
      <c r="H23" s="17">
        <v>3</v>
      </c>
      <c r="I23" s="17">
        <v>12</v>
      </c>
      <c r="J23" s="17">
        <v>24</v>
      </c>
      <c r="K23" s="17">
        <v>135560</v>
      </c>
      <c r="L23" s="18" t="s">
        <v>98</v>
      </c>
      <c r="M23" s="19" t="s">
        <v>99</v>
      </c>
      <c r="N23" s="16">
        <v>94</v>
      </c>
      <c r="O23" s="1"/>
      <c r="P23" s="1" t="s">
        <v>4</v>
      </c>
      <c r="Q23" s="17" t="s">
        <v>68</v>
      </c>
      <c r="R23" s="22" t="s">
        <v>69</v>
      </c>
      <c r="S23" s="22" t="s">
        <v>108</v>
      </c>
      <c r="T23" s="37">
        <v>716000010209</v>
      </c>
      <c r="U23" s="28" t="s">
        <v>112</v>
      </c>
      <c r="V23" s="22" t="s">
        <v>110</v>
      </c>
      <c r="W23" s="22">
        <v>1</v>
      </c>
      <c r="X23" s="22">
        <v>2</v>
      </c>
      <c r="Y23" s="156"/>
      <c r="Z23" s="157"/>
      <c r="AA23" s="157"/>
      <c r="AB23" s="158"/>
      <c r="AC23" s="22"/>
      <c r="AD23" s="22">
        <v>50</v>
      </c>
      <c r="AE23" s="22"/>
      <c r="AF23" s="156"/>
      <c r="AG23" s="157"/>
      <c r="AH23" s="157"/>
      <c r="AI23" s="157"/>
      <c r="AJ23" s="159"/>
      <c r="AK23" s="39">
        <v>100</v>
      </c>
      <c r="AL23" s="26" t="s">
        <v>73</v>
      </c>
      <c r="AM23" s="26" t="s">
        <v>73</v>
      </c>
      <c r="AN23" s="26" t="s">
        <v>73</v>
      </c>
      <c r="AO23" s="26" t="s">
        <v>73</v>
      </c>
      <c r="AP23" s="26" t="s">
        <v>73</v>
      </c>
      <c r="AQ23" s="26">
        <v>100</v>
      </c>
      <c r="AR23" s="26" t="s">
        <v>73</v>
      </c>
      <c r="AS23" s="26" t="s">
        <v>73</v>
      </c>
      <c r="AT23" s="26" t="s">
        <v>73</v>
      </c>
      <c r="AU23" s="26" t="s">
        <v>73</v>
      </c>
      <c r="AV23" s="26" t="s">
        <v>73</v>
      </c>
      <c r="AW23" s="26" t="s">
        <v>73</v>
      </c>
      <c r="AX23" s="118">
        <v>100</v>
      </c>
      <c r="AY23" s="15" t="s">
        <v>6</v>
      </c>
      <c r="AZ23" s="126" t="s">
        <v>74</v>
      </c>
      <c r="BA23" s="126"/>
      <c r="BB23" s="109" t="s">
        <v>75</v>
      </c>
      <c r="BH23" s="51" t="s">
        <v>112</v>
      </c>
      <c r="BI23" s="104">
        <v>362</v>
      </c>
      <c r="BJ23" s="106"/>
      <c r="BK23" s="95" t="s">
        <v>271</v>
      </c>
      <c r="BL23" s="96">
        <v>46135</v>
      </c>
      <c r="BM23" s="95" t="s">
        <v>271</v>
      </c>
      <c r="BN23" s="96">
        <v>46135</v>
      </c>
      <c r="BO23" s="95" t="s">
        <v>272</v>
      </c>
      <c r="BP23" s="96">
        <v>46136</v>
      </c>
      <c r="BQ23" s="95" t="s">
        <v>187</v>
      </c>
      <c r="BR23" s="95" t="s">
        <v>273</v>
      </c>
      <c r="BS23" s="94" t="s">
        <v>274</v>
      </c>
      <c r="BT23" s="25">
        <v>74.34</v>
      </c>
      <c r="BU23" s="25">
        <f t="shared" si="0"/>
        <v>25.659999999999997</v>
      </c>
      <c r="BV23" s="137" t="s">
        <v>190</v>
      </c>
      <c r="BW23" s="109" t="s">
        <v>275</v>
      </c>
      <c r="BX23" s="61">
        <v>46174</v>
      </c>
      <c r="BY23" s="25">
        <f t="shared" si="1"/>
        <v>100</v>
      </c>
      <c r="BZ23" s="149">
        <v>58.41</v>
      </c>
      <c r="CA23" s="25">
        <f t="shared" si="3"/>
        <v>41.59</v>
      </c>
      <c r="CB23" s="107" t="s">
        <v>276</v>
      </c>
      <c r="CC23" s="107"/>
      <c r="CD23" s="107"/>
      <c r="CK23" t="s">
        <v>281</v>
      </c>
      <c r="CL23" t="s">
        <v>174</v>
      </c>
      <c r="CM23" t="s">
        <v>175</v>
      </c>
      <c r="CN23" t="s">
        <v>176</v>
      </c>
      <c r="CO23" s="61">
        <v>46184</v>
      </c>
      <c r="CP23" t="s">
        <v>281</v>
      </c>
    </row>
    <row r="24" spans="1:94 16359:16381" customFormat="1" ht="47.25" customHeight="1" x14ac:dyDescent="0.25">
      <c r="A24" s="16">
        <v>2026</v>
      </c>
      <c r="B24" s="17">
        <v>479</v>
      </c>
      <c r="C24" s="18" t="s">
        <v>64</v>
      </c>
      <c r="D24" s="18" t="s">
        <v>65</v>
      </c>
      <c r="E24" s="17">
        <v>125</v>
      </c>
      <c r="F24" s="17">
        <v>3000654</v>
      </c>
      <c r="G24" s="17">
        <v>5005023</v>
      </c>
      <c r="H24" s="17">
        <v>3</v>
      </c>
      <c r="I24" s="17">
        <v>12</v>
      </c>
      <c r="J24" s="17">
        <v>24</v>
      </c>
      <c r="K24" s="17">
        <v>135560</v>
      </c>
      <c r="L24" s="18" t="s">
        <v>98</v>
      </c>
      <c r="M24" s="19" t="s">
        <v>99</v>
      </c>
      <c r="N24" s="16">
        <v>94</v>
      </c>
      <c r="O24" s="1"/>
      <c r="P24" s="1" t="s">
        <v>4</v>
      </c>
      <c r="Q24" s="17" t="s">
        <v>68</v>
      </c>
      <c r="R24" s="22" t="s">
        <v>69</v>
      </c>
      <c r="S24" s="22" t="s">
        <v>108</v>
      </c>
      <c r="T24" s="37">
        <v>716000040112</v>
      </c>
      <c r="U24" s="28" t="s">
        <v>113</v>
      </c>
      <c r="V24" s="22" t="s">
        <v>110</v>
      </c>
      <c r="W24" s="22">
        <v>1</v>
      </c>
      <c r="X24" s="22">
        <v>1</v>
      </c>
      <c r="Y24" s="156"/>
      <c r="Z24" s="157"/>
      <c r="AA24" s="157"/>
      <c r="AB24" s="158"/>
      <c r="AC24" s="22"/>
      <c r="AD24" s="22">
        <v>50</v>
      </c>
      <c r="AE24" s="22"/>
      <c r="AF24" s="156"/>
      <c r="AG24" s="157"/>
      <c r="AH24" s="157"/>
      <c r="AI24" s="157"/>
      <c r="AJ24" s="159"/>
      <c r="AK24" s="39">
        <v>50</v>
      </c>
      <c r="AL24" s="26" t="s">
        <v>73</v>
      </c>
      <c r="AM24" s="26" t="s">
        <v>73</v>
      </c>
      <c r="AN24" s="26" t="s">
        <v>73</v>
      </c>
      <c r="AO24" s="26" t="s">
        <v>73</v>
      </c>
      <c r="AP24" s="26" t="s">
        <v>73</v>
      </c>
      <c r="AQ24" s="26">
        <v>50</v>
      </c>
      <c r="AR24" s="26" t="s">
        <v>73</v>
      </c>
      <c r="AS24" s="26" t="s">
        <v>73</v>
      </c>
      <c r="AT24" s="26" t="s">
        <v>73</v>
      </c>
      <c r="AU24" s="26" t="s">
        <v>73</v>
      </c>
      <c r="AV24" s="26" t="s">
        <v>73</v>
      </c>
      <c r="AW24" s="26" t="s">
        <v>73</v>
      </c>
      <c r="AX24" s="118">
        <v>50</v>
      </c>
      <c r="AY24" s="15" t="s">
        <v>6</v>
      </c>
      <c r="AZ24" s="126" t="s">
        <v>74</v>
      </c>
      <c r="BA24" s="126"/>
      <c r="BB24" s="109" t="s">
        <v>75</v>
      </c>
      <c r="BH24" s="28" t="s">
        <v>113</v>
      </c>
      <c r="BI24" s="104">
        <v>362</v>
      </c>
      <c r="BJ24" s="106"/>
      <c r="BK24" s="95" t="s">
        <v>271</v>
      </c>
      <c r="BL24" s="96">
        <v>46135</v>
      </c>
      <c r="BM24" s="95" t="s">
        <v>271</v>
      </c>
      <c r="BN24" s="96">
        <v>46135</v>
      </c>
      <c r="BO24" s="95" t="s">
        <v>272</v>
      </c>
      <c r="BP24" s="96">
        <v>46136</v>
      </c>
      <c r="BQ24" s="95" t="s">
        <v>187</v>
      </c>
      <c r="BR24" s="95" t="s">
        <v>273</v>
      </c>
      <c r="BS24" s="94" t="s">
        <v>274</v>
      </c>
      <c r="BT24" s="25">
        <v>19.47</v>
      </c>
      <c r="BU24" s="25">
        <f t="shared" si="0"/>
        <v>30.53</v>
      </c>
      <c r="BV24" s="137" t="s">
        <v>190</v>
      </c>
      <c r="BW24" s="109" t="s">
        <v>282</v>
      </c>
      <c r="BX24" s="61">
        <v>46174</v>
      </c>
      <c r="BY24" s="25">
        <f t="shared" si="1"/>
        <v>50</v>
      </c>
      <c r="BZ24" s="25">
        <v>26.55</v>
      </c>
      <c r="CA24" s="25">
        <f t="shared" si="3"/>
        <v>23.45</v>
      </c>
      <c r="CB24" s="107" t="s">
        <v>283</v>
      </c>
      <c r="CC24" s="107"/>
      <c r="CD24" s="107"/>
      <c r="CK24" t="s">
        <v>205</v>
      </c>
      <c r="CL24" t="s">
        <v>205</v>
      </c>
      <c r="CM24" t="s">
        <v>205</v>
      </c>
      <c r="CN24" t="s">
        <v>205</v>
      </c>
      <c r="CP24" t="s">
        <v>284</v>
      </c>
    </row>
    <row r="25" spans="1:94 16359:16381" customFormat="1" ht="47.25" hidden="1" customHeight="1" x14ac:dyDescent="0.25">
      <c r="A25" s="16">
        <v>2026</v>
      </c>
      <c r="B25" s="17">
        <v>479</v>
      </c>
      <c r="C25" s="18" t="s">
        <v>64</v>
      </c>
      <c r="D25" s="18" t="s">
        <v>65</v>
      </c>
      <c r="E25" s="17">
        <v>125</v>
      </c>
      <c r="F25" s="17">
        <v>3000654</v>
      </c>
      <c r="G25" s="17">
        <v>5005023</v>
      </c>
      <c r="H25" s="17">
        <v>3</v>
      </c>
      <c r="I25" s="17">
        <v>12</v>
      </c>
      <c r="J25" s="17">
        <v>24</v>
      </c>
      <c r="K25" s="17">
        <v>135560</v>
      </c>
      <c r="L25" s="18" t="s">
        <v>98</v>
      </c>
      <c r="M25" s="19" t="s">
        <v>99</v>
      </c>
      <c r="N25" s="16">
        <v>94</v>
      </c>
      <c r="O25" s="1"/>
      <c r="P25" s="1" t="s">
        <v>4</v>
      </c>
      <c r="Q25" s="17" t="s">
        <v>68</v>
      </c>
      <c r="R25" s="22" t="s">
        <v>69</v>
      </c>
      <c r="S25" s="22" t="s">
        <v>108</v>
      </c>
      <c r="T25" s="37">
        <v>716000060413</v>
      </c>
      <c r="U25" s="28" t="s">
        <v>114</v>
      </c>
      <c r="V25" s="22" t="s">
        <v>110</v>
      </c>
      <c r="W25" s="22">
        <v>1</v>
      </c>
      <c r="X25" s="22">
        <v>3</v>
      </c>
      <c r="Y25" s="156"/>
      <c r="Z25" s="157"/>
      <c r="AA25" s="157"/>
      <c r="AB25" s="158"/>
      <c r="AC25" s="22"/>
      <c r="AD25" s="22">
        <v>10</v>
      </c>
      <c r="AE25" s="22"/>
      <c r="AF25" s="156"/>
      <c r="AG25" s="157"/>
      <c r="AH25" s="157"/>
      <c r="AI25" s="157"/>
      <c r="AJ25" s="159"/>
      <c r="AK25" s="39">
        <v>30</v>
      </c>
      <c r="AL25" s="26" t="s">
        <v>73</v>
      </c>
      <c r="AM25" s="26" t="s">
        <v>73</v>
      </c>
      <c r="AN25" s="26" t="s">
        <v>73</v>
      </c>
      <c r="AO25" s="26" t="s">
        <v>73</v>
      </c>
      <c r="AP25" s="26" t="s">
        <v>73</v>
      </c>
      <c r="AQ25" s="26">
        <v>30</v>
      </c>
      <c r="AR25" s="26" t="s">
        <v>73</v>
      </c>
      <c r="AS25" s="26" t="s">
        <v>73</v>
      </c>
      <c r="AT25" s="26" t="s">
        <v>73</v>
      </c>
      <c r="AU25" s="26" t="s">
        <v>73</v>
      </c>
      <c r="AV25" s="26" t="s">
        <v>73</v>
      </c>
      <c r="AW25" s="26" t="s">
        <v>73</v>
      </c>
      <c r="AX25" s="118">
        <v>30</v>
      </c>
      <c r="AY25" s="15" t="s">
        <v>6</v>
      </c>
      <c r="AZ25" s="126" t="s">
        <v>74</v>
      </c>
      <c r="BA25" s="126"/>
      <c r="BB25" s="109" t="s">
        <v>75</v>
      </c>
      <c r="BH25" s="51" t="s">
        <v>114</v>
      </c>
      <c r="BI25" s="104">
        <v>362</v>
      </c>
      <c r="BJ25" s="106"/>
      <c r="BK25" s="95" t="s">
        <v>271</v>
      </c>
      <c r="BL25" s="96">
        <v>46135</v>
      </c>
      <c r="BM25" s="95" t="s">
        <v>271</v>
      </c>
      <c r="BN25" s="96">
        <v>46135</v>
      </c>
      <c r="BO25" s="95" t="s">
        <v>272</v>
      </c>
      <c r="BP25" s="96">
        <v>46136</v>
      </c>
      <c r="BQ25" s="137" t="s">
        <v>225</v>
      </c>
      <c r="BR25" s="95" t="s">
        <v>285</v>
      </c>
      <c r="BS25" s="94" t="s">
        <v>274</v>
      </c>
      <c r="BT25" s="25">
        <v>13.22</v>
      </c>
      <c r="BU25" s="25">
        <f t="shared" si="0"/>
        <v>16.78</v>
      </c>
      <c r="BV25" s="137" t="s">
        <v>225</v>
      </c>
      <c r="BW25" s="109"/>
      <c r="BY25" s="25">
        <f t="shared" si="1"/>
        <v>30</v>
      </c>
      <c r="BZ25" s="25"/>
      <c r="CA25" s="25">
        <f t="shared" si="3"/>
        <v>30</v>
      </c>
      <c r="CB25" s="107"/>
      <c r="CC25" s="107"/>
      <c r="CD25" s="107"/>
    </row>
    <row r="26" spans="1:94 16359:16381" customFormat="1" ht="47.25" customHeight="1" x14ac:dyDescent="0.25">
      <c r="A26" s="16">
        <v>2026</v>
      </c>
      <c r="B26" s="17">
        <v>479</v>
      </c>
      <c r="C26" s="18" t="s">
        <v>64</v>
      </c>
      <c r="D26" s="18" t="s">
        <v>65</v>
      </c>
      <c r="E26" s="17">
        <v>125</v>
      </c>
      <c r="F26" s="17">
        <v>3000654</v>
      </c>
      <c r="G26" s="17">
        <v>5005023</v>
      </c>
      <c r="H26" s="17">
        <v>3</v>
      </c>
      <c r="I26" s="17">
        <v>12</v>
      </c>
      <c r="J26" s="17">
        <v>24</v>
      </c>
      <c r="K26" s="17">
        <v>135560</v>
      </c>
      <c r="L26" s="18" t="s">
        <v>98</v>
      </c>
      <c r="M26" s="19" t="s">
        <v>99</v>
      </c>
      <c r="N26" s="16">
        <v>94</v>
      </c>
      <c r="O26" s="1"/>
      <c r="P26" s="1" t="s">
        <v>4</v>
      </c>
      <c r="Q26" s="17" t="s">
        <v>68</v>
      </c>
      <c r="R26" s="22" t="s">
        <v>69</v>
      </c>
      <c r="S26" s="22" t="s">
        <v>108</v>
      </c>
      <c r="T26" s="37">
        <v>716000060432</v>
      </c>
      <c r="U26" s="28" t="s">
        <v>115</v>
      </c>
      <c r="V26" s="22" t="s">
        <v>110</v>
      </c>
      <c r="W26" s="22">
        <v>1</v>
      </c>
      <c r="X26" s="22">
        <v>2.7</v>
      </c>
      <c r="Y26" s="156"/>
      <c r="Z26" s="157"/>
      <c r="AA26" s="157"/>
      <c r="AB26" s="158"/>
      <c r="AC26" s="22"/>
      <c r="AD26" s="22">
        <v>5</v>
      </c>
      <c r="AE26" s="22"/>
      <c r="AF26" s="156"/>
      <c r="AG26" s="157"/>
      <c r="AH26" s="157"/>
      <c r="AI26" s="157"/>
      <c r="AJ26" s="159"/>
      <c r="AK26" s="39">
        <v>14</v>
      </c>
      <c r="AL26" s="26" t="s">
        <v>73</v>
      </c>
      <c r="AM26" s="26" t="s">
        <v>73</v>
      </c>
      <c r="AN26" s="26" t="s">
        <v>73</v>
      </c>
      <c r="AO26" s="26" t="s">
        <v>73</v>
      </c>
      <c r="AP26" s="26" t="s">
        <v>73</v>
      </c>
      <c r="AQ26" s="26">
        <v>14</v>
      </c>
      <c r="AR26" s="26" t="s">
        <v>73</v>
      </c>
      <c r="AS26" s="26" t="s">
        <v>73</v>
      </c>
      <c r="AT26" s="26" t="s">
        <v>73</v>
      </c>
      <c r="AU26" s="26" t="s">
        <v>73</v>
      </c>
      <c r="AV26" s="26" t="s">
        <v>73</v>
      </c>
      <c r="AW26" s="26" t="s">
        <v>73</v>
      </c>
      <c r="AX26" s="118">
        <v>14</v>
      </c>
      <c r="AY26" s="15" t="s">
        <v>6</v>
      </c>
      <c r="AZ26" s="126" t="s">
        <v>74</v>
      </c>
      <c r="BA26" s="126"/>
      <c r="BB26" s="109" t="s">
        <v>116</v>
      </c>
      <c r="BH26" s="51" t="s">
        <v>115</v>
      </c>
      <c r="BI26" s="104">
        <v>362</v>
      </c>
      <c r="BJ26" s="106"/>
      <c r="BK26" s="95" t="s">
        <v>271</v>
      </c>
      <c r="BL26" s="96">
        <v>46135</v>
      </c>
      <c r="BM26" s="95" t="s">
        <v>271</v>
      </c>
      <c r="BN26" s="96">
        <v>46135</v>
      </c>
      <c r="BO26" s="95" t="s">
        <v>272</v>
      </c>
      <c r="BP26" s="96">
        <v>46136</v>
      </c>
      <c r="BQ26" s="95" t="s">
        <v>187</v>
      </c>
      <c r="BR26" s="95" t="s">
        <v>273</v>
      </c>
      <c r="BS26" s="94" t="s">
        <v>274</v>
      </c>
      <c r="BT26" s="25">
        <v>11.27</v>
      </c>
      <c r="BU26" s="25">
        <f t="shared" si="0"/>
        <v>2.7300000000000004</v>
      </c>
      <c r="BV26" s="137" t="s">
        <v>190</v>
      </c>
      <c r="BW26" s="109" t="s">
        <v>286</v>
      </c>
      <c r="BX26" s="61">
        <v>46174</v>
      </c>
      <c r="BY26" s="25">
        <f t="shared" si="1"/>
        <v>14</v>
      </c>
      <c r="BZ26" s="25">
        <v>14.1</v>
      </c>
      <c r="CA26" s="25">
        <f t="shared" si="3"/>
        <v>-9.9999999999999645E-2</v>
      </c>
      <c r="CB26" s="107" t="s">
        <v>287</v>
      </c>
      <c r="CC26" s="107"/>
      <c r="CD26" s="107"/>
      <c r="CK26" t="s">
        <v>205</v>
      </c>
      <c r="CL26" t="s">
        <v>174</v>
      </c>
      <c r="CM26" t="s">
        <v>291</v>
      </c>
      <c r="CN26" t="s">
        <v>176</v>
      </c>
      <c r="CO26" s="61">
        <v>46203</v>
      </c>
      <c r="CP26" s="51" t="s">
        <v>364</v>
      </c>
    </row>
    <row r="27" spans="1:94 16359:16381" customFormat="1" ht="47.25" customHeight="1" x14ac:dyDescent="0.25">
      <c r="A27" s="16">
        <v>2026</v>
      </c>
      <c r="B27" s="17">
        <v>479</v>
      </c>
      <c r="C27" s="18" t="s">
        <v>64</v>
      </c>
      <c r="D27" s="18" t="s">
        <v>65</v>
      </c>
      <c r="E27" s="17">
        <v>125</v>
      </c>
      <c r="F27" s="17">
        <v>3000654</v>
      </c>
      <c r="G27" s="17">
        <v>5005023</v>
      </c>
      <c r="H27" s="17">
        <v>3</v>
      </c>
      <c r="I27" s="17">
        <v>12</v>
      </c>
      <c r="J27" s="17">
        <v>24</v>
      </c>
      <c r="K27" s="17">
        <v>135560</v>
      </c>
      <c r="L27" s="18" t="s">
        <v>98</v>
      </c>
      <c r="M27" s="19" t="s">
        <v>99</v>
      </c>
      <c r="N27" s="16">
        <v>94</v>
      </c>
      <c r="O27" s="1"/>
      <c r="P27" s="1" t="s">
        <v>4</v>
      </c>
      <c r="Q27" s="17" t="s">
        <v>68</v>
      </c>
      <c r="R27" s="22" t="s">
        <v>69</v>
      </c>
      <c r="S27" s="22" t="s">
        <v>108</v>
      </c>
      <c r="T27" s="37">
        <v>716000060443</v>
      </c>
      <c r="U27" s="28" t="s">
        <v>117</v>
      </c>
      <c r="V27" s="22" t="s">
        <v>110</v>
      </c>
      <c r="W27" s="22">
        <v>1</v>
      </c>
      <c r="X27" s="22">
        <v>1.5</v>
      </c>
      <c r="Y27" s="156"/>
      <c r="Z27" s="157"/>
      <c r="AA27" s="157"/>
      <c r="AB27" s="158"/>
      <c r="AC27" s="22"/>
      <c r="AD27" s="22">
        <v>20</v>
      </c>
      <c r="AE27" s="22"/>
      <c r="AF27" s="156"/>
      <c r="AG27" s="157"/>
      <c r="AH27" s="157"/>
      <c r="AI27" s="157"/>
      <c r="AJ27" s="159"/>
      <c r="AK27" s="39">
        <v>30</v>
      </c>
      <c r="AL27" s="26" t="s">
        <v>73</v>
      </c>
      <c r="AM27" s="26" t="s">
        <v>73</v>
      </c>
      <c r="AN27" s="26" t="s">
        <v>73</v>
      </c>
      <c r="AO27" s="26" t="s">
        <v>73</v>
      </c>
      <c r="AP27" s="26" t="s">
        <v>73</v>
      </c>
      <c r="AQ27" s="26">
        <v>30</v>
      </c>
      <c r="AR27" s="26" t="s">
        <v>73</v>
      </c>
      <c r="AS27" s="26" t="s">
        <v>73</v>
      </c>
      <c r="AT27" s="26" t="s">
        <v>73</v>
      </c>
      <c r="AU27" s="26" t="s">
        <v>73</v>
      </c>
      <c r="AV27" s="26" t="s">
        <v>73</v>
      </c>
      <c r="AW27" s="26" t="s">
        <v>73</v>
      </c>
      <c r="AX27" s="118">
        <v>30</v>
      </c>
      <c r="AY27" s="15" t="s">
        <v>6</v>
      </c>
      <c r="AZ27" s="126" t="s">
        <v>74</v>
      </c>
      <c r="BA27" s="126"/>
      <c r="BB27" s="109" t="s">
        <v>118</v>
      </c>
      <c r="BH27" s="28" t="s">
        <v>117</v>
      </c>
      <c r="BI27" s="104">
        <v>362</v>
      </c>
      <c r="BJ27" s="106"/>
      <c r="BK27" s="95" t="s">
        <v>271</v>
      </c>
      <c r="BL27" s="96">
        <v>46135</v>
      </c>
      <c r="BM27" s="95" t="s">
        <v>271</v>
      </c>
      <c r="BN27" s="96">
        <v>46135</v>
      </c>
      <c r="BO27" s="95" t="s">
        <v>272</v>
      </c>
      <c r="BP27" s="96">
        <v>46136</v>
      </c>
      <c r="BQ27" s="95" t="s">
        <v>187</v>
      </c>
      <c r="BR27" s="95" t="s">
        <v>273</v>
      </c>
      <c r="BS27" s="94" t="s">
        <v>274</v>
      </c>
      <c r="BT27" s="25">
        <v>26.9</v>
      </c>
      <c r="BU27" s="25">
        <f t="shared" si="0"/>
        <v>3.1000000000000014</v>
      </c>
      <c r="BV27" s="137" t="s">
        <v>190</v>
      </c>
      <c r="BW27" s="109" t="s">
        <v>288</v>
      </c>
      <c r="BX27" s="61">
        <v>46174</v>
      </c>
      <c r="BY27" s="25">
        <f t="shared" si="1"/>
        <v>30</v>
      </c>
      <c r="BZ27" s="25">
        <v>28.08</v>
      </c>
      <c r="CA27" s="25">
        <f t="shared" si="3"/>
        <v>1.9200000000000017</v>
      </c>
      <c r="CB27" s="107" t="s">
        <v>289</v>
      </c>
      <c r="CC27" s="107"/>
      <c r="CD27" s="107"/>
      <c r="CK27" t="s">
        <v>290</v>
      </c>
      <c r="CL27" t="s">
        <v>174</v>
      </c>
      <c r="CM27" t="s">
        <v>291</v>
      </c>
      <c r="CN27" t="s">
        <v>176</v>
      </c>
      <c r="CO27" s="61">
        <v>46188</v>
      </c>
      <c r="CP27" t="s">
        <v>290</v>
      </c>
    </row>
    <row r="28" spans="1:94 16359:16381" customFormat="1" ht="47.25" customHeight="1" x14ac:dyDescent="0.25">
      <c r="A28" s="16">
        <v>2026</v>
      </c>
      <c r="B28" s="17">
        <v>479</v>
      </c>
      <c r="C28" s="18" t="s">
        <v>64</v>
      </c>
      <c r="D28" s="18" t="s">
        <v>65</v>
      </c>
      <c r="E28" s="17">
        <v>125</v>
      </c>
      <c r="F28" s="17">
        <v>3000654</v>
      </c>
      <c r="G28" s="17">
        <v>5005023</v>
      </c>
      <c r="H28" s="17">
        <v>3</v>
      </c>
      <c r="I28" s="17">
        <v>12</v>
      </c>
      <c r="J28" s="17">
        <v>24</v>
      </c>
      <c r="K28" s="17">
        <v>135560</v>
      </c>
      <c r="L28" s="18" t="s">
        <v>98</v>
      </c>
      <c r="M28" s="19" t="s">
        <v>99</v>
      </c>
      <c r="N28" s="16">
        <v>94</v>
      </c>
      <c r="O28" s="1"/>
      <c r="P28" s="1" t="s">
        <v>4</v>
      </c>
      <c r="Q28" s="17" t="s">
        <v>68</v>
      </c>
      <c r="R28" s="22" t="s">
        <v>69</v>
      </c>
      <c r="S28" s="22" t="s">
        <v>108</v>
      </c>
      <c r="T28" s="37">
        <v>716000060444</v>
      </c>
      <c r="U28" s="28" t="s">
        <v>119</v>
      </c>
      <c r="V28" s="22" t="s">
        <v>110</v>
      </c>
      <c r="W28" s="22">
        <v>1</v>
      </c>
      <c r="X28" s="22">
        <v>1.5</v>
      </c>
      <c r="Y28" s="156"/>
      <c r="Z28" s="157"/>
      <c r="AA28" s="157"/>
      <c r="AB28" s="158"/>
      <c r="AC28" s="22"/>
      <c r="AD28" s="22">
        <v>20</v>
      </c>
      <c r="AE28" s="22"/>
      <c r="AF28" s="156"/>
      <c r="AG28" s="157"/>
      <c r="AH28" s="157"/>
      <c r="AI28" s="157"/>
      <c r="AJ28" s="159"/>
      <c r="AK28" s="39">
        <v>30</v>
      </c>
      <c r="AL28" s="26" t="s">
        <v>73</v>
      </c>
      <c r="AM28" s="26" t="s">
        <v>73</v>
      </c>
      <c r="AN28" s="26" t="s">
        <v>73</v>
      </c>
      <c r="AO28" s="26" t="s">
        <v>73</v>
      </c>
      <c r="AP28" s="26" t="s">
        <v>73</v>
      </c>
      <c r="AQ28" s="26">
        <v>30</v>
      </c>
      <c r="AR28" s="26" t="s">
        <v>73</v>
      </c>
      <c r="AS28" s="26" t="s">
        <v>73</v>
      </c>
      <c r="AT28" s="26" t="s">
        <v>73</v>
      </c>
      <c r="AU28" s="26" t="s">
        <v>73</v>
      </c>
      <c r="AV28" s="26" t="s">
        <v>73</v>
      </c>
      <c r="AW28" s="26" t="s">
        <v>73</v>
      </c>
      <c r="AX28" s="118">
        <f>30+4</f>
        <v>34</v>
      </c>
      <c r="AY28" s="15" t="s">
        <v>6</v>
      </c>
      <c r="AZ28" s="126" t="s">
        <v>74</v>
      </c>
      <c r="BA28" s="126"/>
      <c r="BB28" s="109" t="s">
        <v>118</v>
      </c>
      <c r="BC28" t="s">
        <v>278</v>
      </c>
      <c r="BD28" t="s">
        <v>278</v>
      </c>
      <c r="BE28" t="s">
        <v>279</v>
      </c>
      <c r="BG28" s="51" t="s">
        <v>280</v>
      </c>
      <c r="BH28" s="28" t="s">
        <v>120</v>
      </c>
      <c r="BI28" s="104">
        <v>362</v>
      </c>
      <c r="BJ28" s="106"/>
      <c r="BK28" s="95" t="s">
        <v>271</v>
      </c>
      <c r="BL28" s="96">
        <v>46135</v>
      </c>
      <c r="BM28" s="95" t="s">
        <v>271</v>
      </c>
      <c r="BN28" s="96">
        <v>46135</v>
      </c>
      <c r="BO28" s="95" t="s">
        <v>272</v>
      </c>
      <c r="BP28" s="96">
        <v>46136</v>
      </c>
      <c r="BQ28" s="95" t="s">
        <v>187</v>
      </c>
      <c r="BR28" s="95" t="s">
        <v>273</v>
      </c>
      <c r="BS28" s="94" t="s">
        <v>274</v>
      </c>
      <c r="BT28" s="25">
        <v>33.28</v>
      </c>
      <c r="BU28" s="25">
        <f t="shared" si="0"/>
        <v>0.71999999999999886</v>
      </c>
      <c r="BV28" s="137" t="s">
        <v>190</v>
      </c>
      <c r="BW28" s="109" t="s">
        <v>288</v>
      </c>
      <c r="BX28" s="61">
        <v>46174</v>
      </c>
      <c r="BY28" s="25">
        <f t="shared" si="1"/>
        <v>34</v>
      </c>
      <c r="BZ28" s="25">
        <v>28.08</v>
      </c>
      <c r="CA28" s="25">
        <f t="shared" si="3"/>
        <v>5.9200000000000017</v>
      </c>
      <c r="CB28" s="107" t="s">
        <v>289</v>
      </c>
      <c r="CC28" s="107"/>
      <c r="CD28" s="107"/>
      <c r="CK28" t="s">
        <v>290</v>
      </c>
      <c r="CL28" t="s">
        <v>174</v>
      </c>
      <c r="CM28" t="s">
        <v>291</v>
      </c>
      <c r="CN28" t="s">
        <v>176</v>
      </c>
      <c r="CO28" s="61">
        <v>46188</v>
      </c>
      <c r="CP28" t="s">
        <v>290</v>
      </c>
    </row>
    <row r="29" spans="1:94 16359:16381" customFormat="1" ht="47.25" customHeight="1" x14ac:dyDescent="0.25">
      <c r="A29" s="16">
        <v>2026</v>
      </c>
      <c r="B29" s="17">
        <v>479</v>
      </c>
      <c r="C29" s="18" t="s">
        <v>64</v>
      </c>
      <c r="D29" s="18" t="s">
        <v>65</v>
      </c>
      <c r="E29" s="17">
        <v>125</v>
      </c>
      <c r="F29" s="17">
        <v>3000654</v>
      </c>
      <c r="G29" s="17">
        <v>5005023</v>
      </c>
      <c r="H29" s="17">
        <v>3</v>
      </c>
      <c r="I29" s="17">
        <v>12</v>
      </c>
      <c r="J29" s="17">
        <v>24</v>
      </c>
      <c r="K29" s="17">
        <v>135560</v>
      </c>
      <c r="L29" s="18" t="s">
        <v>98</v>
      </c>
      <c r="M29" s="19" t="s">
        <v>99</v>
      </c>
      <c r="N29" s="16">
        <v>94</v>
      </c>
      <c r="O29" s="1"/>
      <c r="P29" s="1" t="s">
        <v>4</v>
      </c>
      <c r="Q29" s="17" t="s">
        <v>68</v>
      </c>
      <c r="R29" s="22" t="s">
        <v>69</v>
      </c>
      <c r="S29" s="22" t="s">
        <v>108</v>
      </c>
      <c r="T29" s="37">
        <v>717200030013</v>
      </c>
      <c r="U29" s="28" t="s">
        <v>121</v>
      </c>
      <c r="V29" s="22" t="s">
        <v>110</v>
      </c>
      <c r="W29" s="22">
        <v>1</v>
      </c>
      <c r="X29" s="22">
        <v>8</v>
      </c>
      <c r="Y29" s="156"/>
      <c r="Z29" s="157"/>
      <c r="AA29" s="157"/>
      <c r="AB29" s="158"/>
      <c r="AC29" s="22"/>
      <c r="AD29" s="22">
        <v>20</v>
      </c>
      <c r="AE29" s="22"/>
      <c r="AF29" s="156"/>
      <c r="AG29" s="157"/>
      <c r="AH29" s="157"/>
      <c r="AI29" s="157"/>
      <c r="AJ29" s="159"/>
      <c r="AK29" s="39">
        <v>160</v>
      </c>
      <c r="AL29" s="26" t="s">
        <v>73</v>
      </c>
      <c r="AM29" s="26" t="s">
        <v>73</v>
      </c>
      <c r="AN29" s="26" t="s">
        <v>73</v>
      </c>
      <c r="AO29" s="26" t="s">
        <v>73</v>
      </c>
      <c r="AP29" s="26" t="s">
        <v>73</v>
      </c>
      <c r="AQ29" s="26">
        <v>160</v>
      </c>
      <c r="AR29" s="26" t="s">
        <v>73</v>
      </c>
      <c r="AS29" s="26" t="s">
        <v>73</v>
      </c>
      <c r="AT29" s="26" t="s">
        <v>73</v>
      </c>
      <c r="AU29" s="26" t="s">
        <v>73</v>
      </c>
      <c r="AV29" s="26" t="s">
        <v>73</v>
      </c>
      <c r="AW29" s="26" t="s">
        <v>73</v>
      </c>
      <c r="AX29" s="118">
        <v>160</v>
      </c>
      <c r="AY29" s="15" t="s">
        <v>6</v>
      </c>
      <c r="AZ29" s="126" t="s">
        <v>74</v>
      </c>
      <c r="BA29" s="126"/>
      <c r="BB29" s="109" t="s">
        <v>75</v>
      </c>
      <c r="BH29" s="51" t="s">
        <v>122</v>
      </c>
      <c r="BI29" s="104">
        <v>362</v>
      </c>
      <c r="BJ29" s="106"/>
      <c r="BK29" s="95" t="s">
        <v>271</v>
      </c>
      <c r="BL29" s="96">
        <v>46135</v>
      </c>
      <c r="BM29" s="95" t="s">
        <v>271</v>
      </c>
      <c r="BN29" s="96">
        <v>46135</v>
      </c>
      <c r="BO29" s="95" t="s">
        <v>272</v>
      </c>
      <c r="BP29" s="96">
        <v>46136</v>
      </c>
      <c r="BQ29" s="95" t="s">
        <v>187</v>
      </c>
      <c r="BR29" s="95" t="s">
        <v>273</v>
      </c>
      <c r="BS29" s="94" t="s">
        <v>274</v>
      </c>
      <c r="BT29" s="25">
        <v>119.89</v>
      </c>
      <c r="BU29" s="25">
        <f t="shared" si="0"/>
        <v>40.11</v>
      </c>
      <c r="BV29" s="137" t="s">
        <v>190</v>
      </c>
      <c r="BW29" s="109" t="s">
        <v>292</v>
      </c>
      <c r="BX29" s="61">
        <v>46174</v>
      </c>
      <c r="BY29" s="25">
        <f t="shared" si="1"/>
        <v>160</v>
      </c>
      <c r="BZ29" s="25">
        <v>99.59</v>
      </c>
      <c r="CA29" s="25">
        <f t="shared" si="3"/>
        <v>60.41</v>
      </c>
      <c r="CB29" s="107" t="s">
        <v>293</v>
      </c>
      <c r="CC29" s="107"/>
      <c r="CD29" s="107"/>
      <c r="CK29" t="s">
        <v>294</v>
      </c>
      <c r="CL29" t="s">
        <v>174</v>
      </c>
      <c r="CM29" t="s">
        <v>175</v>
      </c>
      <c r="CN29" t="s">
        <v>176</v>
      </c>
      <c r="CO29" s="61">
        <v>46190</v>
      </c>
      <c r="CP29" t="s">
        <v>294</v>
      </c>
    </row>
    <row r="30" spans="1:94 16359:16381" customFormat="1" ht="47.25" customHeight="1" x14ac:dyDescent="0.25">
      <c r="A30" s="16">
        <v>2026</v>
      </c>
      <c r="B30" s="17">
        <v>479</v>
      </c>
      <c r="C30" s="18" t="s">
        <v>64</v>
      </c>
      <c r="D30" s="18" t="s">
        <v>65</v>
      </c>
      <c r="E30" s="17">
        <v>125</v>
      </c>
      <c r="F30" s="17">
        <v>3000654</v>
      </c>
      <c r="G30" s="17">
        <v>5005023</v>
      </c>
      <c r="H30" s="17">
        <v>3</v>
      </c>
      <c r="I30" s="17">
        <v>12</v>
      </c>
      <c r="J30" s="17">
        <v>24</v>
      </c>
      <c r="K30" s="17">
        <v>135560</v>
      </c>
      <c r="L30" s="18" t="s">
        <v>98</v>
      </c>
      <c r="M30" s="19" t="s">
        <v>99</v>
      </c>
      <c r="N30" s="16">
        <v>94</v>
      </c>
      <c r="O30" s="1"/>
      <c r="P30" s="1" t="s">
        <v>4</v>
      </c>
      <c r="Q30" s="17" t="s">
        <v>68</v>
      </c>
      <c r="R30" s="22" t="s">
        <v>69</v>
      </c>
      <c r="S30" s="22" t="s">
        <v>108</v>
      </c>
      <c r="T30" s="37"/>
      <c r="U30" s="28" t="s">
        <v>123</v>
      </c>
      <c r="V30" s="22" t="s">
        <v>110</v>
      </c>
      <c r="W30" s="22">
        <v>1</v>
      </c>
      <c r="X30" s="22">
        <v>4</v>
      </c>
      <c r="Y30" s="156"/>
      <c r="Z30" s="157"/>
      <c r="AA30" s="157"/>
      <c r="AB30" s="158"/>
      <c r="AC30" s="22"/>
      <c r="AD30" s="22">
        <v>30</v>
      </c>
      <c r="AE30" s="22"/>
      <c r="AF30" s="156"/>
      <c r="AG30" s="157"/>
      <c r="AH30" s="157"/>
      <c r="AI30" s="157"/>
      <c r="AJ30" s="159"/>
      <c r="AK30" s="39">
        <v>120</v>
      </c>
      <c r="AL30" s="26" t="s">
        <v>73</v>
      </c>
      <c r="AM30" s="26" t="s">
        <v>73</v>
      </c>
      <c r="AN30" s="26" t="s">
        <v>73</v>
      </c>
      <c r="AO30" s="26" t="s">
        <v>73</v>
      </c>
      <c r="AP30" s="26" t="s">
        <v>73</v>
      </c>
      <c r="AQ30" s="26">
        <v>120</v>
      </c>
      <c r="AR30" s="26" t="s">
        <v>73</v>
      </c>
      <c r="AS30" s="26" t="s">
        <v>73</v>
      </c>
      <c r="AT30" s="26" t="s">
        <v>73</v>
      </c>
      <c r="AU30" s="26" t="s">
        <v>73</v>
      </c>
      <c r="AV30" s="26" t="s">
        <v>73</v>
      </c>
      <c r="AW30" s="26" t="s">
        <v>73</v>
      </c>
      <c r="AX30" s="118">
        <v>120</v>
      </c>
      <c r="AY30" s="15" t="s">
        <v>6</v>
      </c>
      <c r="AZ30" s="126" t="s">
        <v>74</v>
      </c>
      <c r="BA30" s="126"/>
      <c r="BB30" s="109" t="s">
        <v>75</v>
      </c>
      <c r="BH30" s="150" t="s">
        <v>124</v>
      </c>
      <c r="BI30" s="104">
        <v>362</v>
      </c>
      <c r="BJ30" s="106"/>
      <c r="BK30" s="95" t="s">
        <v>271</v>
      </c>
      <c r="BL30" s="96">
        <v>46135</v>
      </c>
      <c r="BM30" s="95" t="s">
        <v>271</v>
      </c>
      <c r="BN30" s="96">
        <v>46135</v>
      </c>
      <c r="BO30" s="95" t="s">
        <v>272</v>
      </c>
      <c r="BP30" s="96">
        <v>46136</v>
      </c>
      <c r="BQ30" s="95" t="s">
        <v>187</v>
      </c>
      <c r="BR30" s="95" t="s">
        <v>273</v>
      </c>
      <c r="BS30" s="94" t="s">
        <v>274</v>
      </c>
      <c r="BT30" s="25">
        <v>108.68</v>
      </c>
      <c r="BU30" s="25">
        <f t="shared" si="0"/>
        <v>11.319999999999993</v>
      </c>
      <c r="BV30" s="137" t="s">
        <v>190</v>
      </c>
      <c r="BW30" s="109" t="s">
        <v>286</v>
      </c>
      <c r="BX30" s="61">
        <v>46174</v>
      </c>
      <c r="BY30" s="25">
        <f t="shared" si="1"/>
        <v>120</v>
      </c>
      <c r="BZ30" s="25">
        <v>97</v>
      </c>
      <c r="CA30" s="25">
        <f t="shared" si="3"/>
        <v>23</v>
      </c>
      <c r="CB30" s="107" t="s">
        <v>287</v>
      </c>
      <c r="CC30" s="107"/>
      <c r="CD30" s="107"/>
      <c r="CK30" t="s">
        <v>205</v>
      </c>
      <c r="CL30" t="s">
        <v>174</v>
      </c>
      <c r="CM30" t="s">
        <v>291</v>
      </c>
      <c r="CN30" t="s">
        <v>176</v>
      </c>
      <c r="CO30" s="61">
        <v>46203</v>
      </c>
      <c r="CP30" s="51" t="s">
        <v>364</v>
      </c>
    </row>
    <row r="31" spans="1:94 16359:16381" customFormat="1" ht="47.25" customHeight="1" x14ac:dyDescent="0.25">
      <c r="A31" s="16">
        <v>2026</v>
      </c>
      <c r="B31" s="17">
        <v>479</v>
      </c>
      <c r="C31" s="18" t="s">
        <v>64</v>
      </c>
      <c r="D31" s="18" t="s">
        <v>65</v>
      </c>
      <c r="E31" s="17">
        <v>125</v>
      </c>
      <c r="F31" s="17">
        <v>3000654</v>
      </c>
      <c r="G31" s="17">
        <v>5005023</v>
      </c>
      <c r="H31" s="17">
        <v>3</v>
      </c>
      <c r="I31" s="17">
        <v>12</v>
      </c>
      <c r="J31" s="17">
        <v>24</v>
      </c>
      <c r="K31" s="17">
        <v>135560</v>
      </c>
      <c r="L31" s="18" t="s">
        <v>98</v>
      </c>
      <c r="M31" s="19" t="s">
        <v>99</v>
      </c>
      <c r="N31" s="16">
        <v>94</v>
      </c>
      <c r="O31" s="1"/>
      <c r="P31" s="1" t="s">
        <v>4</v>
      </c>
      <c r="Q31" s="17" t="s">
        <v>68</v>
      </c>
      <c r="R31" s="22" t="s">
        <v>69</v>
      </c>
      <c r="S31" s="22" t="s">
        <v>108</v>
      </c>
      <c r="T31" s="37">
        <v>718500050058</v>
      </c>
      <c r="U31" s="28" t="s">
        <v>295</v>
      </c>
      <c r="V31" s="22" t="s">
        <v>110</v>
      </c>
      <c r="W31" s="22">
        <v>1</v>
      </c>
      <c r="X31" s="22">
        <v>2</v>
      </c>
      <c r="Y31" s="156"/>
      <c r="Z31" s="157"/>
      <c r="AA31" s="157"/>
      <c r="AB31" s="158"/>
      <c r="AC31" s="22"/>
      <c r="AD31" s="22">
        <v>50</v>
      </c>
      <c r="AE31" s="22"/>
      <c r="AF31" s="156"/>
      <c r="AG31" s="157"/>
      <c r="AH31" s="157"/>
      <c r="AI31" s="157"/>
      <c r="AJ31" s="159"/>
      <c r="AK31" s="39">
        <v>100</v>
      </c>
      <c r="AL31" s="26" t="s">
        <v>73</v>
      </c>
      <c r="AM31" s="26" t="s">
        <v>73</v>
      </c>
      <c r="AN31" s="26" t="s">
        <v>73</v>
      </c>
      <c r="AO31" s="26" t="s">
        <v>73</v>
      </c>
      <c r="AP31" s="26" t="s">
        <v>73</v>
      </c>
      <c r="AQ31" s="26">
        <v>100</v>
      </c>
      <c r="AR31" s="26" t="s">
        <v>73</v>
      </c>
      <c r="AS31" s="26" t="s">
        <v>73</v>
      </c>
      <c r="AT31" s="26" t="s">
        <v>73</v>
      </c>
      <c r="AU31" s="26" t="s">
        <v>73</v>
      </c>
      <c r="AV31" s="26" t="s">
        <v>73</v>
      </c>
      <c r="AW31" s="26" t="s">
        <v>73</v>
      </c>
      <c r="AX31" s="118">
        <v>100</v>
      </c>
      <c r="AY31" s="15" t="s">
        <v>6</v>
      </c>
      <c r="AZ31" s="126" t="s">
        <v>74</v>
      </c>
      <c r="BA31" s="126"/>
      <c r="BB31" s="109" t="s">
        <v>75</v>
      </c>
      <c r="BH31" s="28" t="s">
        <v>125</v>
      </c>
      <c r="BI31" s="104">
        <v>362</v>
      </c>
      <c r="BJ31" s="106"/>
      <c r="BK31" s="95" t="s">
        <v>271</v>
      </c>
      <c r="BL31" s="96">
        <v>46135</v>
      </c>
      <c r="BM31" s="95" t="s">
        <v>271</v>
      </c>
      <c r="BN31" s="96">
        <v>46135</v>
      </c>
      <c r="BO31" s="95" t="s">
        <v>272</v>
      </c>
      <c r="BP31" s="96">
        <v>46136</v>
      </c>
      <c r="BQ31" s="95" t="s">
        <v>187</v>
      </c>
      <c r="BR31" s="95" t="s">
        <v>273</v>
      </c>
      <c r="BS31" s="94" t="s">
        <v>274</v>
      </c>
      <c r="BT31" s="25">
        <v>55.46</v>
      </c>
      <c r="BU31" s="25">
        <f t="shared" si="0"/>
        <v>44.54</v>
      </c>
      <c r="BV31" s="137" t="s">
        <v>190</v>
      </c>
      <c r="BW31" s="109" t="s">
        <v>282</v>
      </c>
      <c r="BX31" s="61">
        <v>46174</v>
      </c>
      <c r="BY31" s="25">
        <f t="shared" si="1"/>
        <v>100</v>
      </c>
      <c r="BZ31" s="25">
        <v>56.05</v>
      </c>
      <c r="CA31" s="25">
        <f t="shared" si="3"/>
        <v>43.95</v>
      </c>
      <c r="CB31" s="107" t="s">
        <v>283</v>
      </c>
      <c r="CC31" s="107"/>
      <c r="CD31" s="107"/>
      <c r="CK31" t="s">
        <v>205</v>
      </c>
      <c r="CL31" t="s">
        <v>205</v>
      </c>
      <c r="CM31" t="s">
        <v>205</v>
      </c>
      <c r="CN31" t="s">
        <v>205</v>
      </c>
      <c r="CP31" t="s">
        <v>284</v>
      </c>
    </row>
    <row r="32" spans="1:94 16359:16381" customFormat="1" ht="47.25" hidden="1" customHeight="1" x14ac:dyDescent="0.25">
      <c r="A32" s="16">
        <v>2026</v>
      </c>
      <c r="B32" s="17">
        <v>479</v>
      </c>
      <c r="C32" s="18" t="s">
        <v>64</v>
      </c>
      <c r="D32" s="18" t="s">
        <v>65</v>
      </c>
      <c r="E32" s="17">
        <v>125</v>
      </c>
      <c r="F32" s="17">
        <v>3000654</v>
      </c>
      <c r="G32" s="17">
        <v>5005023</v>
      </c>
      <c r="H32" s="17">
        <v>3</v>
      </c>
      <c r="I32" s="17">
        <v>12</v>
      </c>
      <c r="J32" s="17">
        <v>24</v>
      </c>
      <c r="K32" s="17">
        <v>135560</v>
      </c>
      <c r="L32" s="18" t="s">
        <v>98</v>
      </c>
      <c r="M32" s="19" t="s">
        <v>99</v>
      </c>
      <c r="N32" s="16">
        <v>94</v>
      </c>
      <c r="O32" s="1"/>
      <c r="P32" s="1" t="s">
        <v>4</v>
      </c>
      <c r="Q32" s="17" t="s">
        <v>68</v>
      </c>
      <c r="R32" s="22" t="s">
        <v>69</v>
      </c>
      <c r="S32" s="22" t="s">
        <v>126</v>
      </c>
      <c r="T32" s="22">
        <v>501100041599</v>
      </c>
      <c r="U32" s="28" t="s">
        <v>127</v>
      </c>
      <c r="V32" s="22" t="s">
        <v>110</v>
      </c>
      <c r="W32" s="22">
        <v>1</v>
      </c>
      <c r="X32" s="22">
        <v>0.7</v>
      </c>
      <c r="Y32" s="156"/>
      <c r="Z32" s="157"/>
      <c r="AA32" s="157"/>
      <c r="AB32" s="158"/>
      <c r="AC32" s="22"/>
      <c r="AD32" s="22">
        <v>100</v>
      </c>
      <c r="AE32" s="22"/>
      <c r="AF32" s="156"/>
      <c r="AG32" s="157"/>
      <c r="AH32" s="157"/>
      <c r="AI32" s="157"/>
      <c r="AJ32" s="159"/>
      <c r="AK32" s="39">
        <v>70</v>
      </c>
      <c r="AL32" s="26" t="s">
        <v>73</v>
      </c>
      <c r="AM32" s="26" t="s">
        <v>73</v>
      </c>
      <c r="AN32" s="26" t="s">
        <v>73</v>
      </c>
      <c r="AO32" s="26" t="s">
        <v>73</v>
      </c>
      <c r="AP32" s="26" t="s">
        <v>73</v>
      </c>
      <c r="AQ32" s="26">
        <v>70</v>
      </c>
      <c r="AR32" s="26" t="s">
        <v>73</v>
      </c>
      <c r="AS32" s="26" t="s">
        <v>73</v>
      </c>
      <c r="AT32" s="26" t="s">
        <v>73</v>
      </c>
      <c r="AU32" s="26" t="s">
        <v>73</v>
      </c>
      <c r="AV32" s="26" t="s">
        <v>73</v>
      </c>
      <c r="AW32" s="26" t="s">
        <v>73</v>
      </c>
      <c r="AX32" s="118">
        <v>70</v>
      </c>
      <c r="AY32" s="116" t="s">
        <v>6</v>
      </c>
      <c r="AZ32" s="126" t="s">
        <v>74</v>
      </c>
      <c r="BA32" s="126"/>
      <c r="BB32" s="16" t="s">
        <v>75</v>
      </c>
      <c r="BH32" s="26" t="s">
        <v>128</v>
      </c>
      <c r="BI32" s="104"/>
      <c r="BJ32" s="106"/>
      <c r="BK32" s="95"/>
      <c r="BL32" s="96"/>
      <c r="BM32" s="95"/>
      <c r="BN32" s="96"/>
      <c r="BO32" s="95"/>
      <c r="BP32" s="96"/>
      <c r="BQ32" s="95" t="s">
        <v>225</v>
      </c>
      <c r="BR32" s="95"/>
      <c r="BS32" s="94"/>
      <c r="BT32" s="25"/>
      <c r="BU32" s="25">
        <f t="shared" si="0"/>
        <v>70</v>
      </c>
      <c r="BV32" s="137" t="s">
        <v>225</v>
      </c>
      <c r="BY32" s="25">
        <f t="shared" si="1"/>
        <v>70</v>
      </c>
      <c r="BZ32" s="25"/>
      <c r="CA32" s="25">
        <f t="shared" si="3"/>
        <v>70</v>
      </c>
      <c r="CB32" s="107"/>
      <c r="CC32" s="107"/>
      <c r="CD32" s="107"/>
    </row>
    <row r="33" spans="1:115" ht="47.25" hidden="1" customHeight="1" x14ac:dyDescent="0.25">
      <c r="A33" s="16">
        <v>2026</v>
      </c>
      <c r="B33" s="17">
        <v>479</v>
      </c>
      <c r="C33" s="18" t="s">
        <v>64</v>
      </c>
      <c r="D33" s="18" t="s">
        <v>65</v>
      </c>
      <c r="E33" s="17">
        <v>125</v>
      </c>
      <c r="F33" s="17">
        <v>3000654</v>
      </c>
      <c r="G33" s="17">
        <v>5005023</v>
      </c>
      <c r="H33" s="17">
        <v>3</v>
      </c>
      <c r="I33" s="17">
        <v>12</v>
      </c>
      <c r="J33" s="17">
        <v>24</v>
      </c>
      <c r="K33" s="17">
        <v>135560</v>
      </c>
      <c r="L33" s="18" t="s">
        <v>98</v>
      </c>
      <c r="M33" s="19" t="s">
        <v>99</v>
      </c>
      <c r="N33" s="16">
        <v>94</v>
      </c>
      <c r="O33" s="1"/>
      <c r="P33" s="1" t="s">
        <v>4</v>
      </c>
      <c r="Q33" s="17" t="s">
        <v>68</v>
      </c>
      <c r="R33" s="22" t="s">
        <v>69</v>
      </c>
      <c r="S33" s="22" t="s">
        <v>108</v>
      </c>
      <c r="T33" s="37">
        <v>443600250055</v>
      </c>
      <c r="U33" s="28" t="s">
        <v>129</v>
      </c>
      <c r="V33" s="22" t="s">
        <v>110</v>
      </c>
      <c r="W33" s="22">
        <v>1</v>
      </c>
      <c r="X33" s="22">
        <v>75</v>
      </c>
      <c r="Y33" s="156"/>
      <c r="Z33" s="157"/>
      <c r="AA33" s="157"/>
      <c r="AB33" s="158"/>
      <c r="AC33" s="22"/>
      <c r="AD33" s="38" t="s">
        <v>130</v>
      </c>
      <c r="AE33" s="22"/>
      <c r="AF33" s="156"/>
      <c r="AG33" s="157"/>
      <c r="AH33" s="157"/>
      <c r="AI33" s="157"/>
      <c r="AJ33" s="159"/>
      <c r="AK33" s="39">
        <v>150</v>
      </c>
      <c r="AL33" s="26" t="s">
        <v>73</v>
      </c>
      <c r="AM33" s="26" t="s">
        <v>73</v>
      </c>
      <c r="AN33" s="26" t="s">
        <v>73</v>
      </c>
      <c r="AO33" s="26" t="s">
        <v>73</v>
      </c>
      <c r="AP33" s="26" t="s">
        <v>73</v>
      </c>
      <c r="AQ33" s="26">
        <v>150</v>
      </c>
      <c r="AR33" s="26" t="s">
        <v>73</v>
      </c>
      <c r="AS33" s="26" t="s">
        <v>73</v>
      </c>
      <c r="AT33" s="26" t="s">
        <v>73</v>
      </c>
      <c r="AU33" s="26" t="s">
        <v>73</v>
      </c>
      <c r="AV33" s="26" t="s">
        <v>73</v>
      </c>
      <c r="AW33" s="26" t="s">
        <v>73</v>
      </c>
      <c r="AX33" s="118">
        <v>150</v>
      </c>
      <c r="AY33" s="116" t="s">
        <v>6</v>
      </c>
      <c r="AZ33" s="126" t="s">
        <v>74</v>
      </c>
      <c r="BA33" s="126"/>
      <c r="BB33" s="109" t="s">
        <v>75</v>
      </c>
      <c r="BH33" s="150" t="s">
        <v>131</v>
      </c>
      <c r="BJ33" s="106"/>
      <c r="BL33" s="96"/>
      <c r="BN33" s="96"/>
      <c r="BP33" s="96"/>
      <c r="BQ33" s="95" t="s">
        <v>225</v>
      </c>
      <c r="BR33" s="95"/>
      <c r="BT33" s="25"/>
      <c r="BU33" s="25">
        <f t="shared" si="0"/>
        <v>150</v>
      </c>
      <c r="BV33" s="137" t="s">
        <v>225</v>
      </c>
      <c r="BW33" s="109"/>
      <c r="BX33"/>
      <c r="BY33" s="25">
        <f t="shared" si="1"/>
        <v>150</v>
      </c>
      <c r="BZ33" s="25"/>
      <c r="CA33" s="25">
        <f t="shared" si="3"/>
        <v>150</v>
      </c>
      <c r="CB33" s="107"/>
      <c r="CC33" s="107"/>
      <c r="CD33" s="107"/>
      <c r="CE33"/>
      <c r="CF33"/>
      <c r="CG33"/>
      <c r="CH33"/>
      <c r="CI33"/>
      <c r="CJ33"/>
      <c r="CK33"/>
      <c r="CL33"/>
      <c r="CM33"/>
      <c r="CN33"/>
      <c r="CO33"/>
      <c r="CP33"/>
      <c r="CQ33"/>
      <c r="CR33"/>
      <c r="CS33"/>
      <c r="CT33"/>
      <c r="CU33"/>
      <c r="CV33"/>
      <c r="CW33"/>
      <c r="CX33"/>
      <c r="CY33"/>
      <c r="CZ33"/>
      <c r="DA33"/>
      <c r="DB33"/>
      <c r="DC33"/>
      <c r="DD33"/>
      <c r="DE33"/>
      <c r="DF33"/>
      <c r="DG33"/>
      <c r="DH33"/>
      <c r="DI33"/>
      <c r="DJ33"/>
      <c r="DK33"/>
    </row>
    <row r="34" spans="1:115" ht="47.25" hidden="1" customHeight="1" x14ac:dyDescent="0.25">
      <c r="A34" s="16">
        <v>2026</v>
      </c>
      <c r="B34" s="17">
        <v>479</v>
      </c>
      <c r="C34" s="18" t="s">
        <v>64</v>
      </c>
      <c r="D34" s="18" t="s">
        <v>65</v>
      </c>
      <c r="E34" s="17">
        <v>125</v>
      </c>
      <c r="F34" s="17">
        <v>3000654</v>
      </c>
      <c r="G34" s="17">
        <v>5005023</v>
      </c>
      <c r="H34" s="17">
        <v>3</v>
      </c>
      <c r="I34" s="17">
        <v>12</v>
      </c>
      <c r="J34" s="17">
        <v>24</v>
      </c>
      <c r="K34" s="17">
        <v>135560</v>
      </c>
      <c r="L34" s="18" t="s">
        <v>98</v>
      </c>
      <c r="M34" s="19" t="s">
        <v>99</v>
      </c>
      <c r="N34" s="16">
        <v>94</v>
      </c>
      <c r="O34" s="1"/>
      <c r="P34" s="1" t="s">
        <v>4</v>
      </c>
      <c r="Q34" s="17" t="s">
        <v>68</v>
      </c>
      <c r="R34" s="22" t="s">
        <v>69</v>
      </c>
      <c r="S34" s="22" t="s">
        <v>108</v>
      </c>
      <c r="T34" s="37">
        <v>443600250053</v>
      </c>
      <c r="U34" s="28" t="s">
        <v>132</v>
      </c>
      <c r="V34" s="22" t="s">
        <v>110</v>
      </c>
      <c r="W34" s="22">
        <v>1</v>
      </c>
      <c r="X34" s="22">
        <v>130</v>
      </c>
      <c r="Y34" s="156"/>
      <c r="Z34" s="157"/>
      <c r="AA34" s="157"/>
      <c r="AB34" s="158"/>
      <c r="AC34" s="22"/>
      <c r="AD34" s="38" t="s">
        <v>133</v>
      </c>
      <c r="AE34" s="22"/>
      <c r="AF34" s="156"/>
      <c r="AG34" s="157"/>
      <c r="AH34" s="157"/>
      <c r="AI34" s="157"/>
      <c r="AJ34" s="159"/>
      <c r="AK34" s="39">
        <v>130</v>
      </c>
      <c r="AL34" s="26" t="s">
        <v>73</v>
      </c>
      <c r="AM34" s="26" t="s">
        <v>73</v>
      </c>
      <c r="AN34" s="26" t="s">
        <v>73</v>
      </c>
      <c r="AO34" s="26" t="s">
        <v>73</v>
      </c>
      <c r="AP34" s="26" t="s">
        <v>73</v>
      </c>
      <c r="AQ34" s="26">
        <v>130</v>
      </c>
      <c r="AR34" s="26" t="s">
        <v>73</v>
      </c>
      <c r="AS34" s="26" t="s">
        <v>73</v>
      </c>
      <c r="AT34" s="26" t="s">
        <v>73</v>
      </c>
      <c r="AU34" s="26" t="s">
        <v>73</v>
      </c>
      <c r="AV34" s="26" t="s">
        <v>73</v>
      </c>
      <c r="AW34" s="26" t="s">
        <v>73</v>
      </c>
      <c r="AX34" s="118">
        <v>130</v>
      </c>
      <c r="AY34" s="116" t="s">
        <v>6</v>
      </c>
      <c r="AZ34" s="126" t="s">
        <v>74</v>
      </c>
      <c r="BA34" s="126"/>
      <c r="BB34" s="109" t="s">
        <v>75</v>
      </c>
      <c r="BH34" s="150" t="s">
        <v>134</v>
      </c>
      <c r="BJ34" s="106"/>
      <c r="BL34" s="96"/>
      <c r="BN34" s="96"/>
      <c r="BP34" s="96"/>
      <c r="BQ34" s="95" t="s">
        <v>225</v>
      </c>
      <c r="BR34" s="95"/>
      <c r="BT34" s="25"/>
      <c r="BU34" s="25">
        <f t="shared" si="0"/>
        <v>130</v>
      </c>
      <c r="BV34" s="137" t="s">
        <v>225</v>
      </c>
      <c r="BW34" s="109"/>
      <c r="BX34"/>
      <c r="BY34" s="25">
        <f t="shared" si="1"/>
        <v>130</v>
      </c>
      <c r="BZ34" s="25"/>
      <c r="CA34" s="25">
        <f t="shared" si="3"/>
        <v>130</v>
      </c>
      <c r="CB34" s="107"/>
      <c r="CC34" s="107"/>
      <c r="CD34" s="107"/>
      <c r="CE34"/>
      <c r="CF34"/>
      <c r="CG34"/>
      <c r="CH34"/>
      <c r="CI34"/>
      <c r="CJ34"/>
      <c r="CK34"/>
      <c r="CL34"/>
      <c r="CM34"/>
      <c r="CN34"/>
      <c r="CO34"/>
      <c r="CP34"/>
      <c r="CQ34"/>
      <c r="CR34"/>
      <c r="CS34"/>
      <c r="CT34"/>
      <c r="CU34"/>
      <c r="CV34"/>
      <c r="CW34"/>
      <c r="CX34"/>
      <c r="CY34"/>
      <c r="CZ34"/>
      <c r="DA34"/>
      <c r="DB34"/>
      <c r="DC34"/>
      <c r="DD34"/>
      <c r="DE34"/>
      <c r="DF34"/>
      <c r="DG34"/>
      <c r="DH34"/>
      <c r="DI34"/>
      <c r="DJ34"/>
      <c r="DK34"/>
    </row>
    <row r="35" spans="1:115" ht="47.25" hidden="1" customHeight="1" x14ac:dyDescent="0.25">
      <c r="A35" s="16">
        <v>2026</v>
      </c>
      <c r="B35" s="17">
        <v>479</v>
      </c>
      <c r="C35" s="18" t="s">
        <v>64</v>
      </c>
      <c r="D35" s="18" t="s">
        <v>65</v>
      </c>
      <c r="E35" s="17">
        <v>125</v>
      </c>
      <c r="F35" s="17">
        <v>3000654</v>
      </c>
      <c r="G35" s="17">
        <v>5005023</v>
      </c>
      <c r="H35" s="17">
        <v>3</v>
      </c>
      <c r="I35" s="17">
        <v>12</v>
      </c>
      <c r="J35" s="17">
        <v>24</v>
      </c>
      <c r="K35" s="17">
        <v>135560</v>
      </c>
      <c r="L35" s="18" t="s">
        <v>98</v>
      </c>
      <c r="M35" s="19" t="s">
        <v>99</v>
      </c>
      <c r="N35" s="16">
        <v>94</v>
      </c>
      <c r="O35" s="1"/>
      <c r="P35" s="1" t="s">
        <v>4</v>
      </c>
      <c r="Q35" s="17" t="s">
        <v>68</v>
      </c>
      <c r="R35" s="22" t="s">
        <v>69</v>
      </c>
      <c r="S35" s="38" t="s">
        <v>85</v>
      </c>
      <c r="T35" s="38">
        <v>942500010037</v>
      </c>
      <c r="U35" s="28" t="s">
        <v>135</v>
      </c>
      <c r="V35" s="22" t="s">
        <v>72</v>
      </c>
      <c r="W35" s="22">
        <v>1</v>
      </c>
      <c r="X35" s="24">
        <v>20000</v>
      </c>
      <c r="Y35" s="156"/>
      <c r="Z35" s="157"/>
      <c r="AA35" s="157"/>
      <c r="AB35" s="158"/>
      <c r="AC35" s="22"/>
      <c r="AD35" s="22">
        <v>1</v>
      </c>
      <c r="AE35" s="22"/>
      <c r="AF35" s="156"/>
      <c r="AG35" s="157"/>
      <c r="AH35" s="157"/>
      <c r="AI35" s="157"/>
      <c r="AJ35" s="159"/>
      <c r="AK35" s="32">
        <v>20000</v>
      </c>
      <c r="AL35" s="26" t="s">
        <v>73</v>
      </c>
      <c r="AM35" s="26" t="s">
        <v>73</v>
      </c>
      <c r="AN35" s="26" t="s">
        <v>73</v>
      </c>
      <c r="AO35" s="26" t="s">
        <v>73</v>
      </c>
      <c r="AP35" s="26" t="s">
        <v>73</v>
      </c>
      <c r="AQ35" s="27">
        <v>20000</v>
      </c>
      <c r="AR35" s="26" t="s">
        <v>73</v>
      </c>
      <c r="AS35" s="26" t="s">
        <v>73</v>
      </c>
      <c r="AT35" s="26" t="s">
        <v>73</v>
      </c>
      <c r="AU35" s="26" t="s">
        <v>73</v>
      </c>
      <c r="AV35" s="26" t="s">
        <v>73</v>
      </c>
      <c r="AW35" s="26" t="s">
        <v>73</v>
      </c>
      <c r="AX35" s="118">
        <v>20000</v>
      </c>
      <c r="AY35" s="116" t="s">
        <v>6</v>
      </c>
      <c r="AZ35" s="126" t="s">
        <v>74</v>
      </c>
      <c r="BA35" s="126"/>
      <c r="BB35" s="109" t="s">
        <v>75</v>
      </c>
      <c r="BH35" s="28" t="s">
        <v>135</v>
      </c>
      <c r="BJ35" s="106"/>
      <c r="BL35" s="96"/>
      <c r="BN35" s="96"/>
      <c r="BP35" s="96"/>
      <c r="BQ35" s="137" t="s">
        <v>225</v>
      </c>
      <c r="BR35" s="95" t="s">
        <v>296</v>
      </c>
      <c r="BT35" s="25"/>
      <c r="BU35" s="25">
        <f t="shared" si="0"/>
        <v>20000</v>
      </c>
      <c r="BV35" s="137" t="s">
        <v>225</v>
      </c>
      <c r="BW35" s="148"/>
      <c r="BX35" s="1"/>
      <c r="BY35" s="25">
        <f t="shared" si="1"/>
        <v>20000</v>
      </c>
      <c r="BZ35" s="25"/>
      <c r="CA35" s="25">
        <f t="shared" si="3"/>
        <v>20000</v>
      </c>
      <c r="CB35" s="107"/>
      <c r="CC35" s="107"/>
      <c r="CD35" s="107"/>
      <c r="CE35"/>
      <c r="CF35"/>
      <c r="CG35"/>
      <c r="CH35"/>
      <c r="CI35"/>
      <c r="CJ35"/>
      <c r="CK35"/>
      <c r="CL35"/>
      <c r="CM35"/>
      <c r="CN35"/>
      <c r="CO35"/>
      <c r="CP35"/>
      <c r="CQ35"/>
      <c r="CR35"/>
      <c r="CS35"/>
      <c r="CT35"/>
      <c r="CU35"/>
      <c r="CV35"/>
      <c r="CW35"/>
      <c r="CX35"/>
      <c r="CY35"/>
      <c r="CZ35"/>
      <c r="DA35"/>
      <c r="DB35"/>
      <c r="DC35"/>
      <c r="DD35"/>
      <c r="DE35"/>
      <c r="DF35"/>
      <c r="DG35"/>
      <c r="DH35"/>
      <c r="DI35"/>
      <c r="DJ35"/>
      <c r="DK35"/>
    </row>
    <row r="36" spans="1:115" ht="47.25" hidden="1" customHeight="1" x14ac:dyDescent="0.25">
      <c r="A36" s="40">
        <v>2026</v>
      </c>
      <c r="B36" s="41">
        <v>479</v>
      </c>
      <c r="C36" s="18" t="s">
        <v>64</v>
      </c>
      <c r="D36" s="18" t="s">
        <v>65</v>
      </c>
      <c r="E36" s="17">
        <v>125</v>
      </c>
      <c r="F36" s="17">
        <v>3000654</v>
      </c>
      <c r="G36" s="17">
        <v>5005023</v>
      </c>
      <c r="H36" s="17">
        <v>3</v>
      </c>
      <c r="I36" s="17">
        <v>12</v>
      </c>
      <c r="J36" s="17">
        <v>24</v>
      </c>
      <c r="K36" s="17">
        <v>135560</v>
      </c>
      <c r="L36" s="42" t="s">
        <v>98</v>
      </c>
      <c r="M36" s="43" t="s">
        <v>99</v>
      </c>
      <c r="N36" s="40">
        <v>94</v>
      </c>
      <c r="O36" s="1"/>
      <c r="P36" s="1" t="s">
        <v>4</v>
      </c>
      <c r="Q36" s="40" t="s">
        <v>68</v>
      </c>
      <c r="R36" s="66" t="s">
        <v>69</v>
      </c>
      <c r="S36" s="44" t="s">
        <v>136</v>
      </c>
      <c r="T36" s="45"/>
      <c r="U36" s="46" t="s">
        <v>137</v>
      </c>
      <c r="V36" s="47" t="s">
        <v>72</v>
      </c>
      <c r="W36" s="47">
        <v>1</v>
      </c>
      <c r="X36" s="67">
        <v>38800</v>
      </c>
      <c r="Y36" s="156"/>
      <c r="Z36" s="157"/>
      <c r="AA36" s="157"/>
      <c r="AB36" s="158"/>
      <c r="AC36" s="22">
        <v>1</v>
      </c>
      <c r="AD36" s="22">
        <v>1</v>
      </c>
      <c r="AE36" s="156"/>
      <c r="AF36" s="157"/>
      <c r="AG36" s="157"/>
      <c r="AH36" s="157"/>
      <c r="AI36" s="157"/>
      <c r="AJ36" s="157"/>
      <c r="AK36" s="48">
        <v>77600</v>
      </c>
      <c r="AL36" s="26" t="s">
        <v>73</v>
      </c>
      <c r="AM36" s="26" t="s">
        <v>73</v>
      </c>
      <c r="AN36" s="26" t="s">
        <v>73</v>
      </c>
      <c r="AO36" s="26" t="s">
        <v>73</v>
      </c>
      <c r="AP36" s="27">
        <v>38800</v>
      </c>
      <c r="AQ36" s="27">
        <v>38800</v>
      </c>
      <c r="AR36" s="26" t="s">
        <v>73</v>
      </c>
      <c r="AS36" s="26" t="s">
        <v>73</v>
      </c>
      <c r="AT36" s="26" t="s">
        <v>73</v>
      </c>
      <c r="AU36" s="26" t="s">
        <v>73</v>
      </c>
      <c r="AV36" s="26" t="s">
        <v>73</v>
      </c>
      <c r="AW36" s="26" t="s">
        <v>73</v>
      </c>
      <c r="AX36" s="118">
        <v>77600</v>
      </c>
      <c r="AY36" s="116" t="s">
        <v>4</v>
      </c>
      <c r="AZ36" s="126" t="s">
        <v>74</v>
      </c>
      <c r="BA36" s="126"/>
      <c r="BB36" s="109" t="s">
        <v>138</v>
      </c>
      <c r="BH36" s="46" t="s">
        <v>137</v>
      </c>
      <c r="BI36" s="104">
        <v>1846</v>
      </c>
      <c r="BJ36" s="106" t="s">
        <v>255</v>
      </c>
      <c r="BK36" s="95" t="s">
        <v>256</v>
      </c>
      <c r="BL36" s="96">
        <v>46141</v>
      </c>
      <c r="BM36" s="95" t="s">
        <v>256</v>
      </c>
      <c r="BN36" s="96">
        <v>46141</v>
      </c>
      <c r="BO36" s="95" t="s">
        <v>257</v>
      </c>
      <c r="BP36" s="96">
        <v>46142</v>
      </c>
      <c r="BQ36" s="95" t="s">
        <v>225</v>
      </c>
      <c r="BR36" s="95" t="s">
        <v>297</v>
      </c>
      <c r="BS36" s="94" t="s">
        <v>259</v>
      </c>
      <c r="BT36" s="25">
        <v>46368</v>
      </c>
      <c r="BU36" s="25">
        <f t="shared" si="0"/>
        <v>31232</v>
      </c>
      <c r="BV36" s="137" t="s">
        <v>225</v>
      </c>
      <c r="BW36"/>
      <c r="BX36"/>
      <c r="BY36" s="25">
        <f t="shared" si="1"/>
        <v>77600</v>
      </c>
      <c r="BZ36" s="25"/>
      <c r="CA36" s="25">
        <f t="shared" si="3"/>
        <v>77600</v>
      </c>
      <c r="CB36" s="107"/>
      <c r="CC36" s="107" t="s">
        <v>213</v>
      </c>
      <c r="CD36" s="107"/>
      <c r="CE36"/>
      <c r="CF36"/>
      <c r="CG36"/>
      <c r="CH36"/>
      <c r="CI36"/>
      <c r="CJ36"/>
      <c r="CK36"/>
      <c r="CL36"/>
      <c r="CM36"/>
      <c r="CN36"/>
      <c r="CO36"/>
      <c r="CP36"/>
      <c r="CQ36"/>
      <c r="CR36"/>
      <c r="CS36"/>
      <c r="CT36"/>
      <c r="CU36"/>
      <c r="CV36"/>
      <c r="CW36"/>
      <c r="CX36"/>
      <c r="CY36"/>
      <c r="CZ36"/>
      <c r="DA36"/>
      <c r="DB36"/>
      <c r="DC36"/>
      <c r="DD36"/>
      <c r="DE36"/>
      <c r="DF36"/>
      <c r="DG36"/>
      <c r="DH36"/>
      <c r="DI36"/>
      <c r="DJ36"/>
      <c r="DK36"/>
    </row>
    <row r="37" spans="1:115" ht="47.25" customHeight="1" x14ac:dyDescent="0.25">
      <c r="A37" s="40">
        <v>2026</v>
      </c>
      <c r="B37" s="41">
        <v>479</v>
      </c>
      <c r="C37" s="18" t="s">
        <v>64</v>
      </c>
      <c r="D37" s="18" t="s">
        <v>65</v>
      </c>
      <c r="E37" s="17">
        <v>125</v>
      </c>
      <c r="F37" s="17">
        <v>3000654</v>
      </c>
      <c r="G37" s="17">
        <v>5005023</v>
      </c>
      <c r="H37" s="17">
        <v>3</v>
      </c>
      <c r="I37" s="17">
        <v>12</v>
      </c>
      <c r="J37" s="17">
        <v>24</v>
      </c>
      <c r="K37" s="17">
        <v>135560</v>
      </c>
      <c r="L37" s="42" t="s">
        <v>98</v>
      </c>
      <c r="M37" s="53" t="s">
        <v>83</v>
      </c>
      <c r="N37" s="16">
        <v>96</v>
      </c>
      <c r="O37" s="1"/>
      <c r="P37" s="1" t="s">
        <v>4</v>
      </c>
      <c r="Q37" s="40" t="s">
        <v>68</v>
      </c>
      <c r="R37" s="66" t="s">
        <v>69</v>
      </c>
      <c r="S37" s="151" t="s">
        <v>298</v>
      </c>
      <c r="T37" s="151"/>
      <c r="U37" s="152" t="s">
        <v>299</v>
      </c>
      <c r="V37" s="22" t="s">
        <v>110</v>
      </c>
      <c r="W37" s="52"/>
      <c r="X37" s="153">
        <v>630</v>
      </c>
      <c r="Y37" s="1"/>
      <c r="Z37" s="1"/>
      <c r="AA37" s="1"/>
      <c r="AB37" s="1"/>
      <c r="AC37" s="52">
        <v>100</v>
      </c>
      <c r="AD37" s="52"/>
      <c r="AE37" s="1"/>
      <c r="AF37" s="1"/>
      <c r="AG37" s="1"/>
      <c r="AH37" s="1"/>
      <c r="AI37" s="1"/>
      <c r="AJ37" s="1"/>
      <c r="AK37" s="48" t="s">
        <v>300</v>
      </c>
      <c r="AL37" s="26" t="s">
        <v>73</v>
      </c>
      <c r="AM37" s="26" t="s">
        <v>73</v>
      </c>
      <c r="AN37" s="26" t="s">
        <v>73</v>
      </c>
      <c r="AO37" s="26" t="s">
        <v>73</v>
      </c>
      <c r="AP37" s="27"/>
      <c r="AQ37" s="27">
        <v>63000</v>
      </c>
      <c r="AR37" s="26" t="s">
        <v>73</v>
      </c>
      <c r="AS37" s="26" t="s">
        <v>73</v>
      </c>
      <c r="AT37" s="26" t="s">
        <v>73</v>
      </c>
      <c r="AU37" s="26" t="s">
        <v>73</v>
      </c>
      <c r="AV37" s="26" t="s">
        <v>73</v>
      </c>
      <c r="AW37" s="26" t="s">
        <v>73</v>
      </c>
      <c r="AX37" s="118">
        <f>63000-16500</f>
        <v>46500</v>
      </c>
      <c r="AY37" s="15" t="s">
        <v>4</v>
      </c>
      <c r="AZ37" s="126" t="s">
        <v>74</v>
      </c>
      <c r="BA37" s="126"/>
      <c r="BC37" t="s">
        <v>301</v>
      </c>
      <c r="BD37" t="s">
        <v>301</v>
      </c>
      <c r="BE37" t="s">
        <v>302</v>
      </c>
      <c r="BG37" t="s">
        <v>303</v>
      </c>
      <c r="BH37"/>
      <c r="BI37" s="104">
        <v>412</v>
      </c>
      <c r="BJ37" s="106" t="s">
        <v>304</v>
      </c>
      <c r="BK37" s="95" t="s">
        <v>305</v>
      </c>
      <c r="BL37" s="96">
        <v>46139</v>
      </c>
      <c r="BM37" s="95" t="s">
        <v>306</v>
      </c>
      <c r="BN37" s="96">
        <v>46141</v>
      </c>
      <c r="BO37" s="95" t="s">
        <v>307</v>
      </c>
      <c r="BP37" s="96">
        <v>46147</v>
      </c>
      <c r="BQ37" s="95" t="s">
        <v>187</v>
      </c>
      <c r="BR37" s="95" t="s">
        <v>308</v>
      </c>
      <c r="BS37" s="94" t="s">
        <v>309</v>
      </c>
      <c r="BT37" s="25">
        <v>26500</v>
      </c>
      <c r="BU37" s="25">
        <f t="shared" si="0"/>
        <v>20000</v>
      </c>
      <c r="BV37" s="131" t="s">
        <v>190</v>
      </c>
      <c r="BW37" s="138" t="s">
        <v>310</v>
      </c>
      <c r="BX37" s="139">
        <v>46156</v>
      </c>
      <c r="BY37" s="25">
        <f>AX37</f>
        <v>46500</v>
      </c>
      <c r="BZ37" s="25">
        <v>26500</v>
      </c>
      <c r="CA37" s="25">
        <f t="shared" si="3"/>
        <v>20000</v>
      </c>
      <c r="CB37" s="107"/>
      <c r="CC37" s="107"/>
      <c r="CD37" s="107"/>
      <c r="CE37" s="51" t="s">
        <v>311</v>
      </c>
      <c r="CF37" s="61">
        <v>46185</v>
      </c>
      <c r="CG37" s="51" t="s">
        <v>312</v>
      </c>
      <c r="CH37" s="61">
        <v>46185</v>
      </c>
      <c r="CI37"/>
      <c r="CJ37"/>
      <c r="CK37" t="s">
        <v>313</v>
      </c>
      <c r="CL37" t="s">
        <v>174</v>
      </c>
      <c r="CM37" t="s">
        <v>350</v>
      </c>
      <c r="CN37" t="s">
        <v>176</v>
      </c>
      <c r="CO37" s="61">
        <v>46217</v>
      </c>
      <c r="CP37" t="s">
        <v>363</v>
      </c>
      <c r="CQ37"/>
      <c r="CR37"/>
      <c r="CS37"/>
      <c r="CT37"/>
      <c r="CU37"/>
      <c r="CV37"/>
      <c r="CW37"/>
      <c r="CX37"/>
      <c r="CY37"/>
      <c r="CZ37"/>
      <c r="DA37"/>
      <c r="DB37"/>
      <c r="DC37"/>
      <c r="DD37"/>
      <c r="DE37"/>
      <c r="DF37"/>
      <c r="DG37"/>
      <c r="DH37"/>
      <c r="DI37"/>
      <c r="DJ37"/>
      <c r="DK37"/>
    </row>
    <row r="38" spans="1:115" ht="47.25" customHeight="1" x14ac:dyDescent="0.25">
      <c r="A38" s="70">
        <v>2026</v>
      </c>
      <c r="B38" s="72">
        <v>479</v>
      </c>
      <c r="C38" s="69" t="s">
        <v>64</v>
      </c>
      <c r="D38" s="69" t="s">
        <v>65</v>
      </c>
      <c r="E38" s="72">
        <v>125</v>
      </c>
      <c r="F38" s="72">
        <v>3000654</v>
      </c>
      <c r="G38" s="72">
        <v>5005023</v>
      </c>
      <c r="H38" s="72">
        <v>3</v>
      </c>
      <c r="I38" s="72">
        <v>12</v>
      </c>
      <c r="J38" s="72">
        <v>24</v>
      </c>
      <c r="K38" s="72">
        <v>135560</v>
      </c>
      <c r="L38" s="69" t="s">
        <v>66</v>
      </c>
      <c r="M38" s="81" t="s">
        <v>67</v>
      </c>
      <c r="N38" s="70">
        <v>95</v>
      </c>
      <c r="O38" s="68"/>
      <c r="P38" s="68" t="s">
        <v>4</v>
      </c>
      <c r="Q38" s="72" t="s">
        <v>68</v>
      </c>
      <c r="R38" s="71" t="s">
        <v>69</v>
      </c>
      <c r="S38" s="71" t="s">
        <v>89</v>
      </c>
      <c r="T38" s="71"/>
      <c r="U38" s="152" t="s">
        <v>314</v>
      </c>
      <c r="V38" s="71" t="s">
        <v>72</v>
      </c>
      <c r="W38" s="52"/>
      <c r="X38" s="153">
        <v>40000</v>
      </c>
      <c r="Y38" s="1"/>
      <c r="Z38" s="1"/>
      <c r="AA38" s="1"/>
      <c r="AB38" s="1"/>
      <c r="AC38" s="52"/>
      <c r="AD38" s="52"/>
      <c r="AE38" s="1"/>
      <c r="AF38" s="1"/>
      <c r="AG38" s="1"/>
      <c r="AH38" s="1"/>
      <c r="AI38" s="1"/>
      <c r="AJ38" s="1"/>
      <c r="AK38" s="48" t="s">
        <v>300</v>
      </c>
      <c r="AL38" s="26"/>
      <c r="AM38" s="26"/>
      <c r="AN38" s="26"/>
      <c r="AO38" s="26"/>
      <c r="AP38" s="27"/>
      <c r="AQ38" s="27"/>
      <c r="AR38" s="26"/>
      <c r="AS38" s="26"/>
      <c r="AT38" s="26"/>
      <c r="AU38" s="26"/>
      <c r="AV38" s="26"/>
      <c r="AW38" s="26"/>
      <c r="AX38" s="118">
        <v>40000</v>
      </c>
      <c r="AY38" s="77" t="s">
        <v>7</v>
      </c>
      <c r="AZ38" s="126"/>
      <c r="BA38" s="126"/>
      <c r="BC38" t="s">
        <v>315</v>
      </c>
      <c r="BD38" t="s">
        <v>315</v>
      </c>
      <c r="BE38" t="s">
        <v>316</v>
      </c>
      <c r="BG38" s="51" t="s">
        <v>317</v>
      </c>
      <c r="BI38" s="104">
        <v>2044</v>
      </c>
      <c r="BJ38" s="106"/>
      <c r="BK38" s="95" t="s">
        <v>318</v>
      </c>
      <c r="BL38" s="96">
        <v>46150</v>
      </c>
      <c r="BM38" s="95" t="s">
        <v>319</v>
      </c>
      <c r="BN38" s="96">
        <v>46154</v>
      </c>
      <c r="BO38" s="95" t="s">
        <v>320</v>
      </c>
      <c r="BP38" s="96">
        <v>46154</v>
      </c>
      <c r="BQ38" s="95" t="s">
        <v>187</v>
      </c>
      <c r="BR38" s="95" t="s">
        <v>321</v>
      </c>
      <c r="BS38" s="94" t="s">
        <v>322</v>
      </c>
      <c r="BT38" s="25">
        <v>14160</v>
      </c>
      <c r="BU38" s="25">
        <f t="shared" si="0"/>
        <v>25840</v>
      </c>
      <c r="BV38" s="128" t="s">
        <v>190</v>
      </c>
      <c r="BW38" s="129" t="s">
        <v>323</v>
      </c>
      <c r="BX38" s="96">
        <v>46164</v>
      </c>
      <c r="BY38" s="25">
        <f>AX38</f>
        <v>40000</v>
      </c>
      <c r="BZ38" s="25">
        <v>14160</v>
      </c>
      <c r="CA38" s="25">
        <f t="shared" si="3"/>
        <v>25840</v>
      </c>
      <c r="CB38" s="107" t="s">
        <v>324</v>
      </c>
      <c r="CD38" s="107" t="s">
        <v>325</v>
      </c>
      <c r="CE38" s="95" t="s">
        <v>368</v>
      </c>
      <c r="CF38" s="96">
        <v>46217</v>
      </c>
      <c r="CK38" s="95" t="s">
        <v>369</v>
      </c>
      <c r="CL38" s="94" t="s">
        <v>174</v>
      </c>
      <c r="CM38" s="94" t="s">
        <v>350</v>
      </c>
      <c r="CN38" s="94" t="s">
        <v>205</v>
      </c>
      <c r="CP38" s="90" t="s">
        <v>326</v>
      </c>
    </row>
    <row r="39" spans="1:115" ht="47.25" customHeight="1" x14ac:dyDescent="0.25">
      <c r="A39" s="16">
        <v>2026</v>
      </c>
      <c r="B39" s="17">
        <v>479</v>
      </c>
      <c r="C39" s="18" t="s">
        <v>64</v>
      </c>
      <c r="D39" s="18" t="s">
        <v>65</v>
      </c>
      <c r="E39" s="17">
        <v>125</v>
      </c>
      <c r="F39" s="17">
        <v>3000654</v>
      </c>
      <c r="G39" s="17">
        <v>5005023</v>
      </c>
      <c r="H39" s="17">
        <v>3</v>
      </c>
      <c r="I39" s="17">
        <v>12</v>
      </c>
      <c r="J39" s="17">
        <v>24</v>
      </c>
      <c r="K39" s="17">
        <v>135560</v>
      </c>
      <c r="L39" s="18" t="s">
        <v>66</v>
      </c>
      <c r="M39" s="19" t="s">
        <v>67</v>
      </c>
      <c r="N39" s="16">
        <v>95</v>
      </c>
      <c r="O39" s="1"/>
      <c r="P39" s="1" t="s">
        <v>4</v>
      </c>
      <c r="Q39" s="17" t="s">
        <v>68</v>
      </c>
      <c r="R39" s="22" t="s">
        <v>69</v>
      </c>
      <c r="S39" s="22" t="s">
        <v>76</v>
      </c>
      <c r="T39" s="154"/>
      <c r="U39" s="28" t="s">
        <v>327</v>
      </c>
      <c r="V39" s="22" t="s">
        <v>72</v>
      </c>
      <c r="W39" s="52"/>
      <c r="X39" s="153">
        <v>6444512</v>
      </c>
      <c r="Y39" s="1"/>
      <c r="Z39" s="1"/>
      <c r="AA39" s="1"/>
      <c r="AB39" s="1"/>
      <c r="AC39" s="52"/>
      <c r="AD39" s="52"/>
      <c r="AE39" s="1"/>
      <c r="AF39" s="1"/>
      <c r="AG39" s="1"/>
      <c r="AH39" s="1"/>
      <c r="AI39" s="1"/>
      <c r="AJ39" s="1"/>
      <c r="AK39" s="48" t="s">
        <v>300</v>
      </c>
      <c r="AL39" s="26"/>
      <c r="AM39" s="26"/>
      <c r="AN39" s="26"/>
      <c r="AO39" s="26"/>
      <c r="AP39" s="27"/>
      <c r="AQ39" s="27"/>
      <c r="AR39" s="26"/>
      <c r="AS39" s="26"/>
      <c r="AT39" s="26"/>
      <c r="AU39" s="26"/>
      <c r="AV39" s="26"/>
      <c r="AW39" s="26"/>
      <c r="AX39" s="119">
        <v>6444512</v>
      </c>
      <c r="AY39" s="27" t="s">
        <v>7</v>
      </c>
      <c r="AZ39" s="126"/>
      <c r="BA39" s="126"/>
      <c r="BC39" t="s">
        <v>328</v>
      </c>
      <c r="BD39" t="s">
        <v>328</v>
      </c>
      <c r="BE39" t="s">
        <v>329</v>
      </c>
      <c r="BG39" s="51" t="s">
        <v>330</v>
      </c>
      <c r="BH39" s="28" t="s">
        <v>77</v>
      </c>
      <c r="BJ39" s="106"/>
      <c r="BK39" s="95" t="s">
        <v>331</v>
      </c>
      <c r="BL39" s="96">
        <v>46189</v>
      </c>
      <c r="BM39" s="95" t="s">
        <v>332</v>
      </c>
      <c r="BN39" s="96">
        <v>46189</v>
      </c>
      <c r="BO39" s="95" t="s">
        <v>333</v>
      </c>
      <c r="BP39" s="96">
        <v>46189</v>
      </c>
      <c r="BQ39" s="95" t="s">
        <v>187</v>
      </c>
      <c r="BR39" s="95" t="s">
        <v>334</v>
      </c>
      <c r="BS39" s="94" t="s">
        <v>213</v>
      </c>
      <c r="BT39" s="25"/>
      <c r="BU39" s="25"/>
      <c r="BV39" s="137" t="s">
        <v>190</v>
      </c>
      <c r="BW39" s="155" t="s">
        <v>335</v>
      </c>
      <c r="BX39" s="96">
        <v>46196</v>
      </c>
      <c r="BY39" s="25">
        <f>AX39</f>
        <v>6444512</v>
      </c>
      <c r="BZ39" s="25">
        <v>6444512</v>
      </c>
      <c r="CA39" s="25">
        <f t="shared" si="3"/>
        <v>0</v>
      </c>
      <c r="CB39" s="107" t="s">
        <v>202</v>
      </c>
      <c r="CC39" s="95" t="s">
        <v>336</v>
      </c>
      <c r="CD39" s="107" t="s">
        <v>337</v>
      </c>
      <c r="CL39" s="94" t="s">
        <v>205</v>
      </c>
      <c r="CM39" s="94" t="s">
        <v>205</v>
      </c>
      <c r="CN39" s="94" t="s">
        <v>205</v>
      </c>
      <c r="CO39" s="94" t="s">
        <v>205</v>
      </c>
      <c r="CP39" s="94" t="s">
        <v>205</v>
      </c>
    </row>
    <row r="40" spans="1:115" ht="47.25" hidden="1" customHeight="1" x14ac:dyDescent="0.25">
      <c r="A40" s="16">
        <v>2026</v>
      </c>
      <c r="B40" s="17">
        <v>479</v>
      </c>
      <c r="C40" s="18" t="s">
        <v>64</v>
      </c>
      <c r="D40" s="18" t="s">
        <v>65</v>
      </c>
      <c r="E40" s="17">
        <v>125</v>
      </c>
      <c r="F40" s="17">
        <v>3000654</v>
      </c>
      <c r="G40" s="17">
        <v>5005023</v>
      </c>
      <c r="H40" s="17">
        <v>3</v>
      </c>
      <c r="I40" s="17">
        <v>12</v>
      </c>
      <c r="J40" s="17">
        <v>24</v>
      </c>
      <c r="K40" s="17">
        <v>135560</v>
      </c>
      <c r="L40" s="18" t="s">
        <v>66</v>
      </c>
      <c r="M40" s="19" t="s">
        <v>67</v>
      </c>
      <c r="N40" s="16">
        <v>95</v>
      </c>
      <c r="O40" s="1"/>
      <c r="P40" s="1" t="s">
        <v>4</v>
      </c>
      <c r="Q40" s="17" t="s">
        <v>68</v>
      </c>
      <c r="R40" s="22" t="s">
        <v>69</v>
      </c>
      <c r="S40" s="22" t="s">
        <v>80</v>
      </c>
      <c r="T40" s="22"/>
      <c r="U40" s="28" t="s">
        <v>88</v>
      </c>
      <c r="V40" s="22" t="s">
        <v>72</v>
      </c>
      <c r="W40" s="22"/>
      <c r="X40" s="153">
        <v>55829</v>
      </c>
      <c r="Y40" s="1"/>
      <c r="Z40" s="1"/>
      <c r="AA40" s="1"/>
      <c r="AB40" s="1"/>
      <c r="AC40" s="52"/>
      <c r="AD40" s="52">
        <v>1</v>
      </c>
      <c r="AE40" s="1"/>
      <c r="AF40" s="1"/>
      <c r="AG40" s="1"/>
      <c r="AH40" s="1"/>
      <c r="AI40" s="1"/>
      <c r="AJ40" s="1"/>
      <c r="AK40" s="48" t="s">
        <v>300</v>
      </c>
      <c r="AL40" s="26"/>
      <c r="AM40" s="26"/>
      <c r="AN40" s="26"/>
      <c r="AO40" s="26"/>
      <c r="AP40" s="27"/>
      <c r="AQ40" s="27"/>
      <c r="AR40" s="26"/>
      <c r="AS40" s="26"/>
      <c r="AT40" s="26"/>
      <c r="AU40" s="26"/>
      <c r="AV40" s="26"/>
      <c r="AW40" s="26"/>
      <c r="AX40" s="119">
        <v>55829</v>
      </c>
      <c r="AY40" s="27" t="s">
        <v>7</v>
      </c>
      <c r="AZ40" s="126" t="s">
        <v>213</v>
      </c>
      <c r="BA40" s="126"/>
      <c r="BC40" t="s">
        <v>338</v>
      </c>
      <c r="BD40" s="61">
        <v>46188</v>
      </c>
      <c r="BE40" t="s">
        <v>339</v>
      </c>
      <c r="BG40" s="51"/>
      <c r="BH40" s="28" t="s">
        <v>88</v>
      </c>
      <c r="BI40" s="104" t="s">
        <v>192</v>
      </c>
      <c r="BJ40" s="106"/>
      <c r="BK40" s="95" t="s">
        <v>340</v>
      </c>
      <c r="BL40" s="96">
        <v>46196</v>
      </c>
      <c r="BM40" s="95" t="s">
        <v>340</v>
      </c>
      <c r="BN40" s="96">
        <v>46196</v>
      </c>
      <c r="BO40" s="95" t="s">
        <v>341</v>
      </c>
      <c r="BP40" s="96">
        <v>46197</v>
      </c>
      <c r="BQ40" s="95" t="s">
        <v>187</v>
      </c>
      <c r="BR40" s="95" t="s">
        <v>342</v>
      </c>
      <c r="BT40" s="25"/>
      <c r="BU40" s="25"/>
      <c r="BV40" s="155" t="s">
        <v>354</v>
      </c>
      <c r="BW40" s="155"/>
      <c r="BX40" s="96"/>
      <c r="BY40" s="25"/>
      <c r="BZ40" s="25"/>
      <c r="CA40" s="25"/>
      <c r="CB40" s="95" t="s">
        <v>244</v>
      </c>
      <c r="CC40" s="95" t="s">
        <v>192</v>
      </c>
      <c r="CD40" s="139">
        <v>46218</v>
      </c>
      <c r="CO40" s="94"/>
      <c r="CP40" s="94"/>
    </row>
    <row r="41" spans="1:115" ht="47.25" hidden="1" customHeight="1" x14ac:dyDescent="0.25">
      <c r="A41" s="16">
        <v>2026</v>
      </c>
      <c r="B41" s="17">
        <v>479</v>
      </c>
      <c r="C41" s="18" t="s">
        <v>64</v>
      </c>
      <c r="D41" s="18" t="s">
        <v>65</v>
      </c>
      <c r="E41" s="17">
        <v>125</v>
      </c>
      <c r="F41" s="17">
        <v>3000654</v>
      </c>
      <c r="G41" s="17">
        <v>5005023</v>
      </c>
      <c r="H41" s="17">
        <v>3</v>
      </c>
      <c r="I41" s="17">
        <v>12</v>
      </c>
      <c r="J41" s="17">
        <v>24</v>
      </c>
      <c r="K41" s="17">
        <v>135560</v>
      </c>
      <c r="L41" s="18" t="s">
        <v>66</v>
      </c>
      <c r="M41" s="19" t="s">
        <v>67</v>
      </c>
      <c r="N41" s="16">
        <v>95</v>
      </c>
      <c r="O41" s="1"/>
      <c r="P41" s="1" t="s">
        <v>4</v>
      </c>
      <c r="Q41" s="17" t="s">
        <v>68</v>
      </c>
      <c r="R41" s="22" t="s">
        <v>69</v>
      </c>
      <c r="S41" s="22" t="s">
        <v>70</v>
      </c>
      <c r="T41" s="22"/>
      <c r="U41" s="28" t="s">
        <v>79</v>
      </c>
      <c r="V41" s="22" t="s">
        <v>72</v>
      </c>
      <c r="W41" s="22"/>
      <c r="X41" s="24">
        <v>2500000</v>
      </c>
      <c r="Y41" s="1"/>
      <c r="Z41" s="1"/>
      <c r="AA41" s="1"/>
      <c r="AB41" s="1"/>
      <c r="AC41" s="52"/>
      <c r="AD41" s="52"/>
      <c r="AE41" s="1">
        <v>1</v>
      </c>
      <c r="AF41" s="1"/>
      <c r="AG41" s="1"/>
      <c r="AH41" s="1"/>
      <c r="AI41" s="1"/>
      <c r="AJ41" s="1"/>
      <c r="AK41" s="48"/>
      <c r="AL41" s="26"/>
      <c r="AM41" s="26"/>
      <c r="AN41" s="26"/>
      <c r="AO41" s="26"/>
      <c r="AP41" s="27"/>
      <c r="AQ41" s="27"/>
      <c r="AR41" s="26"/>
      <c r="AS41" s="26"/>
      <c r="AT41" s="26"/>
      <c r="AU41" s="26"/>
      <c r="AV41" s="26"/>
      <c r="AW41" s="26"/>
      <c r="AX41" s="119">
        <v>760927</v>
      </c>
      <c r="AY41" s="27" t="s">
        <v>7</v>
      </c>
      <c r="AZ41" s="126"/>
      <c r="BA41" s="126"/>
      <c r="BC41" t="s">
        <v>356</v>
      </c>
      <c r="BD41" t="s">
        <v>356</v>
      </c>
      <c r="BE41" t="s">
        <v>357</v>
      </c>
      <c r="BG41" s="51" t="s">
        <v>358</v>
      </c>
      <c r="BH41" s="152" t="s">
        <v>192</v>
      </c>
      <c r="BJ41" s="106"/>
      <c r="BK41" s="95" t="s">
        <v>357</v>
      </c>
      <c r="BL41" s="96">
        <v>46190</v>
      </c>
      <c r="BM41" s="95" t="s">
        <v>359</v>
      </c>
      <c r="BN41" s="96">
        <v>46199</v>
      </c>
      <c r="BO41" s="95" t="s">
        <v>360</v>
      </c>
      <c r="BP41" s="96">
        <v>46199</v>
      </c>
      <c r="BQ41" s="95" t="s">
        <v>187</v>
      </c>
      <c r="BR41" s="95" t="s">
        <v>361</v>
      </c>
      <c r="BT41" s="25"/>
      <c r="BU41" s="25"/>
      <c r="BV41" s="155" t="s">
        <v>354</v>
      </c>
      <c r="BW41" s="155"/>
      <c r="BX41" s="96"/>
      <c r="BY41" s="25"/>
      <c r="BZ41" s="25"/>
      <c r="CA41" s="25"/>
      <c r="CD41" s="139" t="s">
        <v>362</v>
      </c>
      <c r="CO41" s="94"/>
      <c r="CP41" s="94"/>
    </row>
    <row r="42" spans="1:115" s="62" customFormat="1" x14ac:dyDescent="0.25">
      <c r="T42" s="63"/>
      <c r="AK42" s="64">
        <f>SUBTOTAL(9,AK2:AK38)</f>
        <v>30409754</v>
      </c>
      <c r="AL42" s="64">
        <f t="shared" ref="AL42:AW42" si="4">SUBTOTAL(9,AL2:AL36)</f>
        <v>0</v>
      </c>
      <c r="AM42" s="64">
        <f t="shared" si="4"/>
        <v>0</v>
      </c>
      <c r="AN42" s="64">
        <f t="shared" si="4"/>
        <v>0</v>
      </c>
      <c r="AO42" s="64">
        <f t="shared" si="4"/>
        <v>0</v>
      </c>
      <c r="AP42" s="64">
        <f t="shared" si="4"/>
        <v>0</v>
      </c>
      <c r="AQ42" s="64">
        <f t="shared" si="4"/>
        <v>30284754</v>
      </c>
      <c r="AR42" s="64">
        <f t="shared" si="4"/>
        <v>125000</v>
      </c>
      <c r="AS42" s="64">
        <f t="shared" si="4"/>
        <v>0</v>
      </c>
      <c r="AT42" s="64">
        <f t="shared" si="4"/>
        <v>0</v>
      </c>
      <c r="AU42" s="64">
        <f t="shared" si="4"/>
        <v>0</v>
      </c>
      <c r="AV42" s="64">
        <f t="shared" si="4"/>
        <v>0</v>
      </c>
      <c r="AW42" s="115">
        <f t="shared" si="4"/>
        <v>0</v>
      </c>
      <c r="AX42" s="117">
        <f>SUBTOTAL(9,AX2:AX40)</f>
        <v>93549598</v>
      </c>
      <c r="AZ42" s="111"/>
      <c r="BA42" s="111"/>
      <c r="BB42" s="111"/>
      <c r="BH42" s="76"/>
      <c r="BI42" s="105"/>
      <c r="BJ42" s="106"/>
      <c r="BK42" s="99"/>
      <c r="BL42" s="99"/>
      <c r="BM42" s="99"/>
      <c r="BN42" s="99"/>
      <c r="BO42" s="99"/>
      <c r="BP42" s="99"/>
      <c r="BQ42" s="99"/>
      <c r="BR42" s="100"/>
      <c r="BS42" s="98"/>
      <c r="BT42" s="25">
        <f>SUBTOTAL(9,BT2:BT38)</f>
        <v>85885146.070000008</v>
      </c>
      <c r="BU42" s="25">
        <f t="shared" ref="BU42:CB42" si="5">SUBTOTAL(9,BU2:BU38)</f>
        <v>1219939.9299999992</v>
      </c>
      <c r="BV42" s="105"/>
      <c r="BW42" s="98"/>
      <c r="BX42" s="98"/>
      <c r="BY42" s="25">
        <f>SUBTOTAL(9,BY2:BY39)</f>
        <v>93549598</v>
      </c>
      <c r="BZ42" s="25">
        <f>SUBTOTAL(9,BZ2:BZ39)</f>
        <v>91617397.569999978</v>
      </c>
      <c r="CA42" s="25">
        <f>SUBTOTAL(9,CA2:CA39)</f>
        <v>1932200.4299999988</v>
      </c>
      <c r="CB42" s="99">
        <f t="shared" si="5"/>
        <v>0</v>
      </c>
      <c r="CC42" s="99"/>
      <c r="CD42" s="99"/>
      <c r="CE42" s="99"/>
      <c r="CF42" s="99"/>
      <c r="CG42" s="98"/>
      <c r="CH42" s="98"/>
      <c r="CI42" s="98"/>
      <c r="CJ42" s="98"/>
      <c r="CK42" s="98"/>
      <c r="CL42" s="98"/>
      <c r="CM42" s="98"/>
      <c r="CN42" s="98"/>
      <c r="CO42" s="91"/>
      <c r="CP42" s="91"/>
      <c r="CQ42" s="91"/>
      <c r="CR42" s="91"/>
      <c r="CS42" s="91"/>
      <c r="CT42" s="91"/>
      <c r="CU42" s="91"/>
      <c r="CV42" s="91"/>
      <c r="CW42" s="91"/>
      <c r="CX42" s="91"/>
      <c r="CY42" s="91"/>
      <c r="CZ42" s="91"/>
      <c r="DA42" s="91"/>
      <c r="DB42" s="91"/>
      <c r="DC42" s="91"/>
      <c r="DD42" s="91"/>
      <c r="DE42" s="91"/>
      <c r="DF42" s="91"/>
      <c r="DG42" s="91"/>
      <c r="DH42" s="91"/>
      <c r="DI42" s="91"/>
      <c r="DJ42" s="91"/>
      <c r="DK42" s="91"/>
    </row>
    <row r="43" spans="1:115" x14ac:dyDescent="0.25">
      <c r="BJ43" s="106"/>
    </row>
    <row r="44" spans="1:115" x14ac:dyDescent="0.25">
      <c r="BJ44" s="106"/>
    </row>
    <row r="45" spans="1:115" ht="39.75" customHeight="1" x14ac:dyDescent="0.25">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I45" s="74"/>
      <c r="BJ45" s="74"/>
      <c r="BU45" s="97"/>
      <c r="BW45" s="160" t="s">
        <v>343</v>
      </c>
      <c r="BX45" s="160"/>
    </row>
    <row r="46" spans="1:115" x14ac:dyDescent="0.25">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I46" s="74"/>
      <c r="BJ46" s="74"/>
      <c r="BL46" s="96"/>
      <c r="BN46" s="96"/>
      <c r="BP46" s="96"/>
      <c r="BW46" s="120" t="s">
        <v>344</v>
      </c>
      <c r="BX46" s="121" t="s">
        <v>345</v>
      </c>
    </row>
    <row r="47" spans="1:115" ht="24.75" x14ac:dyDescent="0.25">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I47" s="74"/>
      <c r="BJ47" s="74"/>
      <c r="BW47" s="124">
        <v>0</v>
      </c>
      <c r="BX47" s="125" t="s">
        <v>346</v>
      </c>
    </row>
    <row r="48" spans="1:115" ht="24.75" x14ac:dyDescent="0.25">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I48" s="74"/>
      <c r="BJ48" s="74"/>
      <c r="BW48" s="124">
        <v>17</v>
      </c>
      <c r="BX48" s="125" t="s">
        <v>225</v>
      </c>
    </row>
    <row r="49" spans="24:76" ht="36.75" x14ac:dyDescent="0.25">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Y49" s="74"/>
      <c r="AZ49" s="74"/>
      <c r="BA49" s="74"/>
      <c r="BB49" s="74"/>
      <c r="BC49" s="74"/>
      <c r="BD49" s="74"/>
      <c r="BE49" s="74"/>
      <c r="BF49" s="74"/>
      <c r="BG49" s="74"/>
      <c r="BI49" s="74"/>
      <c r="BJ49" s="74"/>
      <c r="BW49" s="124">
        <v>1</v>
      </c>
      <c r="BX49" s="125" t="s">
        <v>355</v>
      </c>
    </row>
    <row r="50" spans="24:76" ht="24.75" x14ac:dyDescent="0.25">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I50" s="74"/>
      <c r="BJ50" s="74"/>
      <c r="BW50" s="124">
        <v>0</v>
      </c>
      <c r="BX50" s="125" t="s">
        <v>347</v>
      </c>
    </row>
    <row r="51" spans="24:76" x14ac:dyDescent="0.25">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I51" s="74"/>
      <c r="BJ51" s="74"/>
      <c r="BW51" s="124">
        <v>0</v>
      </c>
      <c r="BX51" s="125" t="s">
        <v>348</v>
      </c>
    </row>
    <row r="52" spans="24:76" x14ac:dyDescent="0.25">
      <c r="BW52" s="124">
        <v>0</v>
      </c>
      <c r="BX52" s="125" t="s">
        <v>349</v>
      </c>
    </row>
    <row r="53" spans="24:76" x14ac:dyDescent="0.25">
      <c r="BW53" s="124">
        <v>21</v>
      </c>
      <c r="BX53" s="125" t="s">
        <v>190</v>
      </c>
    </row>
    <row r="54" spans="24:76" x14ac:dyDescent="0.25">
      <c r="BW54" s="122">
        <v>39</v>
      </c>
      <c r="BX54" s="123" t="s">
        <v>58</v>
      </c>
    </row>
  </sheetData>
  <autoFilter ref="A1:XFA41" xr:uid="{6660A836-A3D1-4573-9591-2192023BE523}">
    <filterColumn colId="73">
      <filters>
        <filter val="CONTRATO/ORDEN"/>
      </filters>
    </filterColumn>
  </autoFilter>
  <mergeCells count="141">
    <mergeCell ref="XEO20:XEP20"/>
    <mergeCell ref="XEQ20:XER20"/>
    <mergeCell ref="XEV20:XEX20"/>
    <mergeCell ref="XEY20:XEZ20"/>
    <mergeCell ref="Y36:Z36"/>
    <mergeCell ref="AA36:AB36"/>
    <mergeCell ref="AE36:AG36"/>
    <mergeCell ref="AH36:AJ36"/>
    <mergeCell ref="Y34:Z34"/>
    <mergeCell ref="AA34:AB34"/>
    <mergeCell ref="AF34:AH34"/>
    <mergeCell ref="AI34:AJ34"/>
    <mergeCell ref="Y35:Z35"/>
    <mergeCell ref="AA35:AB35"/>
    <mergeCell ref="AF35:AH35"/>
    <mergeCell ref="AI35:AJ35"/>
    <mergeCell ref="Y32:Z32"/>
    <mergeCell ref="AA32:AB32"/>
    <mergeCell ref="AF32:AH32"/>
    <mergeCell ref="AI32:AJ32"/>
    <mergeCell ref="Y33:Z33"/>
    <mergeCell ref="AA33:AB33"/>
    <mergeCell ref="AF33:AH33"/>
    <mergeCell ref="AI33:AJ33"/>
    <mergeCell ref="Y30:Z30"/>
    <mergeCell ref="AA30:AB30"/>
    <mergeCell ref="AF30:AH30"/>
    <mergeCell ref="AI30:AJ30"/>
    <mergeCell ref="Y31:Z31"/>
    <mergeCell ref="AA31:AB31"/>
    <mergeCell ref="AF31:AH31"/>
    <mergeCell ref="AI31:AJ31"/>
    <mergeCell ref="Y28:Z28"/>
    <mergeCell ref="AA28:AB28"/>
    <mergeCell ref="AF28:AH28"/>
    <mergeCell ref="AI28:AJ28"/>
    <mergeCell ref="Y29:Z29"/>
    <mergeCell ref="AA29:AB29"/>
    <mergeCell ref="AF29:AH29"/>
    <mergeCell ref="AI29:AJ29"/>
    <mergeCell ref="Y26:Z26"/>
    <mergeCell ref="AA26:AB26"/>
    <mergeCell ref="AF26:AH26"/>
    <mergeCell ref="AI26:AJ26"/>
    <mergeCell ref="Y27:Z27"/>
    <mergeCell ref="AA27:AB27"/>
    <mergeCell ref="AF27:AH27"/>
    <mergeCell ref="AI27:AJ27"/>
    <mergeCell ref="Y24:Z24"/>
    <mergeCell ref="AA24:AB24"/>
    <mergeCell ref="AF24:AH24"/>
    <mergeCell ref="AI24:AJ24"/>
    <mergeCell ref="Y25:Z25"/>
    <mergeCell ref="AA25:AB25"/>
    <mergeCell ref="AF25:AH25"/>
    <mergeCell ref="AI25:AJ25"/>
    <mergeCell ref="Y22:Z22"/>
    <mergeCell ref="AA22:AB22"/>
    <mergeCell ref="AF22:AH22"/>
    <mergeCell ref="AI22:AJ22"/>
    <mergeCell ref="Y23:Z23"/>
    <mergeCell ref="AA23:AB23"/>
    <mergeCell ref="AF23:AH23"/>
    <mergeCell ref="AI23:AJ23"/>
    <mergeCell ref="Y21:Z21"/>
    <mergeCell ref="AA21:AB21"/>
    <mergeCell ref="AF21:AH21"/>
    <mergeCell ref="AI21:AJ21"/>
    <mergeCell ref="Y18:Z18"/>
    <mergeCell ref="AA18:AB18"/>
    <mergeCell ref="AF18:AH18"/>
    <mergeCell ref="AI18:AJ18"/>
    <mergeCell ref="Y19:Z19"/>
    <mergeCell ref="AA19:AB19"/>
    <mergeCell ref="AF19:AH19"/>
    <mergeCell ref="AI19:AJ19"/>
    <mergeCell ref="Y16:Z16"/>
    <mergeCell ref="AA16:AB16"/>
    <mergeCell ref="AF16:AH16"/>
    <mergeCell ref="AI16:AJ16"/>
    <mergeCell ref="Y17:Z17"/>
    <mergeCell ref="AA17:AB17"/>
    <mergeCell ref="AF17:AH17"/>
    <mergeCell ref="AI17:AJ17"/>
    <mergeCell ref="Y14:Z14"/>
    <mergeCell ref="AA14:AB14"/>
    <mergeCell ref="AF14:AH14"/>
    <mergeCell ref="AI14:AJ14"/>
    <mergeCell ref="Y15:Z15"/>
    <mergeCell ref="AA15:AB15"/>
    <mergeCell ref="AF15:AH15"/>
    <mergeCell ref="AI15:AJ15"/>
    <mergeCell ref="Y12:Z12"/>
    <mergeCell ref="AA12:AB12"/>
    <mergeCell ref="AF12:AH12"/>
    <mergeCell ref="AI12:AJ12"/>
    <mergeCell ref="Y13:Z13"/>
    <mergeCell ref="AA13:AB13"/>
    <mergeCell ref="AF13:AH13"/>
    <mergeCell ref="AI13:AJ13"/>
    <mergeCell ref="AI5:AJ5"/>
    <mergeCell ref="Y10:Z10"/>
    <mergeCell ref="AA10:AB10"/>
    <mergeCell ref="AF10:AH10"/>
    <mergeCell ref="AI10:AJ10"/>
    <mergeCell ref="Y11:Z11"/>
    <mergeCell ref="AA11:AB11"/>
    <mergeCell ref="AF11:AH11"/>
    <mergeCell ref="AI11:AJ11"/>
    <mergeCell ref="Y8:Z8"/>
    <mergeCell ref="AA8:AB8"/>
    <mergeCell ref="AF8:AH8"/>
    <mergeCell ref="AI8:AJ8"/>
    <mergeCell ref="Y9:Z9"/>
    <mergeCell ref="AA9:AB9"/>
    <mergeCell ref="AF9:AH9"/>
    <mergeCell ref="AI9:AJ9"/>
    <mergeCell ref="BW45:BX45"/>
    <mergeCell ref="Y2:Z2"/>
    <mergeCell ref="AA2:AB2"/>
    <mergeCell ref="AF2:AH2"/>
    <mergeCell ref="AI2:AJ2"/>
    <mergeCell ref="Y3:Z3"/>
    <mergeCell ref="AA3:AB3"/>
    <mergeCell ref="AF3:AH3"/>
    <mergeCell ref="AI3:AJ3"/>
    <mergeCell ref="Y6:Z6"/>
    <mergeCell ref="AA6:AB6"/>
    <mergeCell ref="AF6:AH6"/>
    <mergeCell ref="AI6:AJ6"/>
    <mergeCell ref="Y7:Z7"/>
    <mergeCell ref="AA7:AB7"/>
    <mergeCell ref="AF7:AH7"/>
    <mergeCell ref="AI7:AJ7"/>
    <mergeCell ref="Y4:Z4"/>
    <mergeCell ref="AA4:AB4"/>
    <mergeCell ref="AF4:AH4"/>
    <mergeCell ref="AI4:AJ4"/>
    <mergeCell ref="Y5:Z5"/>
    <mergeCell ref="AA5:AB5"/>
    <mergeCell ref="AF5:AH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847A-140D-4753-8140-576680B519DD}">
  <dimension ref="C2:Z21"/>
  <sheetViews>
    <sheetView workbookViewId="0">
      <selection activeCell="T7" sqref="T7:T21"/>
    </sheetView>
  </sheetViews>
  <sheetFormatPr baseColWidth="10" defaultColWidth="9.140625" defaultRowHeight="15" x14ac:dyDescent="0.25"/>
  <cols>
    <col min="5" max="5" width="13.85546875" customWidth="1"/>
    <col min="6" max="6" width="13.28515625" customWidth="1"/>
    <col min="7" max="7" width="14" customWidth="1"/>
    <col min="14" max="14" width="13.85546875" customWidth="1"/>
    <col min="20" max="20" width="10.7109375" customWidth="1"/>
    <col min="25" max="25" width="12.42578125" customWidth="1"/>
  </cols>
  <sheetData>
    <row r="2" spans="3:26" x14ac:dyDescent="0.25">
      <c r="E2" t="s">
        <v>351</v>
      </c>
      <c r="F2" t="s">
        <v>352</v>
      </c>
    </row>
    <row r="4" spans="3:26" x14ac:dyDescent="0.25">
      <c r="C4" t="s">
        <v>353</v>
      </c>
      <c r="E4">
        <v>263000</v>
      </c>
      <c r="F4">
        <v>-1700</v>
      </c>
      <c r="G4">
        <f>E4+F4</f>
        <v>261300</v>
      </c>
    </row>
    <row r="6" spans="3:26" x14ac:dyDescent="0.25">
      <c r="N6" t="s">
        <v>7</v>
      </c>
      <c r="T6" t="s">
        <v>6</v>
      </c>
      <c r="Y6" s="78">
        <v>686500</v>
      </c>
      <c r="Z6">
        <v>683000</v>
      </c>
    </row>
    <row r="7" spans="3:26" x14ac:dyDescent="0.25">
      <c r="T7" s="78">
        <v>693500</v>
      </c>
      <c r="V7">
        <v>683500</v>
      </c>
      <c r="Y7" s="78">
        <v>584500</v>
      </c>
    </row>
    <row r="8" spans="3:26" x14ac:dyDescent="0.25">
      <c r="N8" s="108">
        <v>1096000</v>
      </c>
      <c r="P8">
        <v>1091000</v>
      </c>
      <c r="T8" s="78">
        <v>608500</v>
      </c>
      <c r="Y8" s="78">
        <v>619500</v>
      </c>
    </row>
    <row r="9" spans="3:26" x14ac:dyDescent="0.25">
      <c r="N9" s="108">
        <v>48000</v>
      </c>
      <c r="T9" s="78">
        <v>629500</v>
      </c>
      <c r="Y9" s="78">
        <v>13533.33</v>
      </c>
    </row>
    <row r="10" spans="3:26" x14ac:dyDescent="0.25">
      <c r="N10" s="108">
        <v>11000</v>
      </c>
      <c r="T10" s="78">
        <v>13533.33</v>
      </c>
      <c r="V10">
        <v>14000</v>
      </c>
      <c r="Y10" s="78">
        <v>14000</v>
      </c>
    </row>
    <row r="11" spans="3:26" x14ac:dyDescent="0.25">
      <c r="N11" s="108">
        <v>20533.34</v>
      </c>
      <c r="T11" s="78">
        <v>14000</v>
      </c>
      <c r="Y11" s="78">
        <v>4200</v>
      </c>
    </row>
    <row r="12" spans="3:26" x14ac:dyDescent="0.25">
      <c r="N12" s="108">
        <v>52800</v>
      </c>
      <c r="T12" s="78">
        <v>4200</v>
      </c>
      <c r="V12">
        <v>6000</v>
      </c>
      <c r="Y12" s="78">
        <v>11200</v>
      </c>
    </row>
    <row r="13" spans="3:26" x14ac:dyDescent="0.25">
      <c r="N13" s="108">
        <v>8166.67</v>
      </c>
      <c r="P13">
        <v>8000</v>
      </c>
      <c r="T13" s="78">
        <v>11200</v>
      </c>
      <c r="V13">
        <v>12000</v>
      </c>
      <c r="Y13" s="78">
        <v>7500</v>
      </c>
    </row>
    <row r="14" spans="3:26" x14ac:dyDescent="0.25">
      <c r="N14" s="108">
        <v>9533.33</v>
      </c>
      <c r="T14" s="78">
        <v>7500</v>
      </c>
      <c r="V14">
        <v>9000</v>
      </c>
      <c r="Y14" s="78">
        <v>23466.67</v>
      </c>
    </row>
    <row r="15" spans="3:26" x14ac:dyDescent="0.25">
      <c r="N15" s="108">
        <v>264000</v>
      </c>
      <c r="T15" s="78">
        <v>23466.67</v>
      </c>
      <c r="V15">
        <v>32000</v>
      </c>
      <c r="Y15" s="78">
        <v>13200</v>
      </c>
    </row>
    <row r="16" spans="3:26" x14ac:dyDescent="0.25">
      <c r="N16" s="108">
        <v>102000</v>
      </c>
      <c r="T16" s="78">
        <v>13200</v>
      </c>
      <c r="Y16" s="78">
        <v>386500</v>
      </c>
    </row>
    <row r="17" spans="14:25" x14ac:dyDescent="0.25">
      <c r="N17" s="108">
        <v>56000</v>
      </c>
      <c r="T17" s="78">
        <v>386500</v>
      </c>
      <c r="Y17" s="78">
        <v>7400</v>
      </c>
    </row>
    <row r="18" spans="14:25" x14ac:dyDescent="0.25">
      <c r="N18" s="73">
        <f>SUM(N8:N17)</f>
        <v>1668033.34</v>
      </c>
      <c r="T18" s="78">
        <v>7400</v>
      </c>
      <c r="V18">
        <v>12000</v>
      </c>
      <c r="Y18" s="78">
        <v>18000</v>
      </c>
    </row>
    <row r="19" spans="14:25" x14ac:dyDescent="0.25">
      <c r="T19" s="78">
        <v>18000</v>
      </c>
      <c r="V19">
        <v>10000</v>
      </c>
      <c r="Y19" s="78">
        <v>5500</v>
      </c>
    </row>
    <row r="20" spans="14:25" x14ac:dyDescent="0.25">
      <c r="T20" s="78">
        <v>5500</v>
      </c>
      <c r="V20">
        <v>11500</v>
      </c>
      <c r="Y20" s="78">
        <v>10000</v>
      </c>
    </row>
    <row r="21" spans="14:25" x14ac:dyDescent="0.25">
      <c r="T21" s="78">
        <v>10000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BIENES Y SERVICIOS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Edwin F. Sanchez Gonzales</dc:creator>
  <cp:keywords/>
  <dc:description/>
  <cp:lastModifiedBy>Rebeca F. Anaya Florian</cp:lastModifiedBy>
  <cp:revision/>
  <cp:lastPrinted>2026-06-30T19:53:14Z</cp:lastPrinted>
  <dcterms:created xsi:type="dcterms:W3CDTF">2026-04-20T14:30:00Z</dcterms:created>
  <dcterms:modified xsi:type="dcterms:W3CDTF">2026-09-10T14:36:43Z</dcterms:modified>
  <cp:category/>
  <cp:contentStatus/>
</cp:coreProperties>
</file>